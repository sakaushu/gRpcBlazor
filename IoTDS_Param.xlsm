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kabe\"/>
    </mc:Choice>
  </mc:AlternateContent>
  <xr:revisionPtr revIDLastSave="0" documentId="13_ncr:1_{78FD1AE3-E56A-4942-9970-0C33E151249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設定" sheetId="1" r:id="rId1"/>
    <sheet name="System" sheetId="4" r:id="rId2"/>
    <sheet name="SerialIP" sheetId="8" r:id="rId3"/>
    <sheet name="DigitalIO" sheetId="5" r:id="rId4"/>
    <sheet name="Launcher" sheetId="9" r:id="rId5"/>
    <sheet name="Firewall" sheetId="10" r:id="rId6"/>
    <sheet name="WinCred" sheetId="11" r:id="rId7"/>
    <sheet name="更新履歴" sheetId="6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11" i="4" l="1"/>
  <c r="C813" i="4" l="1"/>
  <c r="C814" i="4"/>
  <c r="H814" i="4"/>
  <c r="C796" i="4" l="1"/>
  <c r="C809" i="4" l="1"/>
  <c r="C819" i="4" l="1"/>
  <c r="C818" i="4"/>
  <c r="C821" i="4"/>
  <c r="C815" i="4" l="1"/>
  <c r="H822" i="4"/>
  <c r="H820" i="4"/>
  <c r="H817" i="4"/>
  <c r="H816" i="4"/>
  <c r="H812" i="4"/>
  <c r="H810" i="4"/>
  <c r="H807" i="4"/>
  <c r="H806" i="4"/>
  <c r="C823" i="4" l="1"/>
  <c r="H824" i="4" l="1"/>
  <c r="H823" i="4" l="1"/>
  <c r="H269" i="4"/>
  <c r="H258" i="4"/>
  <c r="H244" i="4"/>
  <c r="H239" i="4"/>
  <c r="C808" i="4" l="1"/>
  <c r="H220" i="4" l="1"/>
  <c r="H223" i="4" l="1"/>
  <c r="H836" i="4" l="1"/>
  <c r="H837" i="4" l="1"/>
  <c r="H178" i="4" l="1"/>
  <c r="H177" i="4"/>
  <c r="H835" i="4" l="1"/>
  <c r="H834" i="4" l="1"/>
  <c r="H833" i="4"/>
  <c r="H832" i="4" l="1"/>
  <c r="H831" i="4"/>
  <c r="H829" i="4" l="1"/>
  <c r="H830" i="4" l="1"/>
  <c r="H225" i="4" l="1"/>
  <c r="H224" i="4" l="1"/>
  <c r="H226" i="4"/>
  <c r="H222" i="4" l="1"/>
  <c r="H174" i="4" l="1"/>
  <c r="H173" i="4"/>
  <c r="H172" i="4"/>
  <c r="H171" i="4"/>
  <c r="H170" i="4"/>
  <c r="H169" i="4"/>
  <c r="H168" i="4"/>
  <c r="H176" i="4" l="1"/>
  <c r="H204" i="4" l="1"/>
  <c r="H196" i="4"/>
  <c r="H188" i="4"/>
  <c r="H189" i="4"/>
  <c r="H181" i="4"/>
  <c r="H163" i="4"/>
  <c r="H156" i="4"/>
  <c r="H148" i="4"/>
  <c r="H221" i="4" l="1"/>
  <c r="H219" i="4" l="1"/>
  <c r="H218" i="4"/>
  <c r="H217" i="4"/>
  <c r="H216" i="4"/>
  <c r="H215" i="4"/>
  <c r="H214" i="4"/>
  <c r="H213" i="4"/>
  <c r="H828" i="4"/>
  <c r="H827" i="4"/>
  <c r="H826" i="4"/>
  <c r="H821" i="4" l="1"/>
  <c r="H735" i="4"/>
  <c r="H734" i="4"/>
  <c r="H733" i="4"/>
  <c r="H732" i="4"/>
  <c r="H731" i="4"/>
  <c r="H730" i="4"/>
  <c r="H729" i="4"/>
  <c r="H268" i="4"/>
  <c r="H257" i="4"/>
  <c r="H243" i="4"/>
  <c r="H238" i="4"/>
  <c r="C4" i="4" l="1"/>
  <c r="H22" i="9" l="1"/>
  <c r="H825" i="4" l="1"/>
  <c r="H21" i="9" l="1"/>
  <c r="H801" i="4" l="1"/>
  <c r="H800" i="4"/>
  <c r="H803" i="4" l="1"/>
  <c r="H799" i="4"/>
  <c r="H805" i="4"/>
  <c r="H804" i="4"/>
  <c r="H802" i="4" l="1"/>
  <c r="H798" i="4" l="1"/>
  <c r="H797" i="4" l="1"/>
  <c r="H752" i="8" l="1"/>
  <c r="H808" i="4" l="1"/>
  <c r="H796" i="4"/>
  <c r="H819" i="4"/>
  <c r="H818" i="4"/>
  <c r="H813" i="4"/>
  <c r="H815" i="4" l="1"/>
  <c r="H809" i="4"/>
  <c r="H211" i="4" l="1"/>
  <c r="H212" i="4" l="1"/>
  <c r="H210" i="4" l="1"/>
  <c r="H209" i="4" l="1"/>
  <c r="H260" i="4" l="1"/>
  <c r="H793" i="4" l="1"/>
  <c r="H795" i="4"/>
  <c r="H791" i="4" l="1"/>
  <c r="H843" i="4"/>
  <c r="H844" i="4"/>
  <c r="H845" i="4"/>
  <c r="H846" i="4"/>
  <c r="H847" i="4"/>
  <c r="H848" i="4"/>
  <c r="H849" i="4"/>
  <c r="H850" i="4"/>
  <c r="H851" i="4"/>
  <c r="H852" i="4"/>
  <c r="H773" i="4" l="1"/>
  <c r="H774" i="4"/>
  <c r="H775" i="4"/>
  <c r="H776" i="4"/>
  <c r="H771" i="4"/>
  <c r="H772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2" i="4"/>
  <c r="H794" i="4"/>
  <c r="H247" i="4" l="1"/>
  <c r="H22" i="8" l="1"/>
  <c r="H941" i="8" l="1"/>
  <c r="H923" i="8"/>
  <c r="H958" i="8" l="1"/>
  <c r="H957" i="8"/>
  <c r="H956" i="8"/>
  <c r="H955" i="8"/>
  <c r="H954" i="8"/>
  <c r="H953" i="8"/>
  <c r="H952" i="8"/>
  <c r="H951" i="8"/>
  <c r="H950" i="8"/>
  <c r="H949" i="8"/>
  <c r="H948" i="8"/>
  <c r="H947" i="8"/>
  <c r="H946" i="8"/>
  <c r="H945" i="8"/>
  <c r="H944" i="8"/>
  <c r="H943" i="8"/>
  <c r="H942" i="8"/>
  <c r="H940" i="8"/>
  <c r="H939" i="8"/>
  <c r="H938" i="8"/>
  <c r="H937" i="8"/>
  <c r="H936" i="8"/>
  <c r="H935" i="8"/>
  <c r="H934" i="8"/>
  <c r="H933" i="8"/>
  <c r="H932" i="8"/>
  <c r="H931" i="8"/>
  <c r="H930" i="8"/>
  <c r="H929" i="8"/>
  <c r="H928" i="8"/>
  <c r="H927" i="8"/>
  <c r="H926" i="8"/>
  <c r="H925" i="8"/>
  <c r="H924" i="8"/>
  <c r="H21" i="8" l="1"/>
  <c r="C311" i="8" l="1"/>
  <c r="E41" i="8"/>
  <c r="E59" i="8" s="1"/>
  <c r="E77" i="8" s="1"/>
  <c r="E95" i="8" s="1"/>
  <c r="E113" i="8" s="1"/>
  <c r="E131" i="8" s="1"/>
  <c r="E149" i="8" s="1"/>
  <c r="E167" i="8" s="1"/>
  <c r="E185" i="8" s="1"/>
  <c r="E203" i="8" s="1"/>
  <c r="E221" i="8" s="1"/>
  <c r="E239" i="8" s="1"/>
  <c r="E257" i="8" s="1"/>
  <c r="E275" i="8" s="1"/>
  <c r="E293" i="8" s="1"/>
  <c r="E311" i="8" s="1"/>
  <c r="E329" i="8" s="1"/>
  <c r="E347" i="8" s="1"/>
  <c r="E365" i="8" s="1"/>
  <c r="E383" i="8" s="1"/>
  <c r="E401" i="8" s="1"/>
  <c r="E419" i="8" s="1"/>
  <c r="E437" i="8" s="1"/>
  <c r="E455" i="8" s="1"/>
  <c r="E473" i="8" s="1"/>
  <c r="E491" i="8" s="1"/>
  <c r="E509" i="8" s="1"/>
  <c r="E527" i="8" s="1"/>
  <c r="E545" i="8" s="1"/>
  <c r="E563" i="8" s="1"/>
  <c r="E581" i="8" s="1"/>
  <c r="E599" i="8" s="1"/>
  <c r="E617" i="8" s="1"/>
  <c r="E635" i="8" s="1"/>
  <c r="E653" i="8" s="1"/>
  <c r="E671" i="8" s="1"/>
  <c r="E689" i="8" s="1"/>
  <c r="E707" i="8" s="1"/>
  <c r="E725" i="8" s="1"/>
  <c r="E743" i="8" s="1"/>
  <c r="E761" i="8" s="1"/>
  <c r="E779" i="8" s="1"/>
  <c r="E797" i="8" s="1"/>
  <c r="E815" i="8" s="1"/>
  <c r="E833" i="8" s="1"/>
  <c r="E851" i="8" s="1"/>
  <c r="E869" i="8" s="1"/>
  <c r="E887" i="8" s="1"/>
  <c r="E905" i="8" s="1"/>
  <c r="D41" i="8"/>
  <c r="D59" i="8" s="1"/>
  <c r="D77" i="8" s="1"/>
  <c r="D95" i="8" s="1"/>
  <c r="D113" i="8" s="1"/>
  <c r="D131" i="8" s="1"/>
  <c r="D149" i="8" s="1"/>
  <c r="D167" i="8" s="1"/>
  <c r="D185" i="8" s="1"/>
  <c r="D203" i="8" s="1"/>
  <c r="D221" i="8" s="1"/>
  <c r="D239" i="8" s="1"/>
  <c r="D257" i="8" s="1"/>
  <c r="D275" i="8" s="1"/>
  <c r="D293" i="8" s="1"/>
  <c r="D311" i="8" s="1"/>
  <c r="D329" i="8" s="1"/>
  <c r="D347" i="8" s="1"/>
  <c r="D365" i="8" s="1"/>
  <c r="D383" i="8" s="1"/>
  <c r="D401" i="8" s="1"/>
  <c r="D419" i="8" s="1"/>
  <c r="D437" i="8" s="1"/>
  <c r="D455" i="8" s="1"/>
  <c r="D473" i="8" s="1"/>
  <c r="D491" i="8" s="1"/>
  <c r="D509" i="8" s="1"/>
  <c r="D527" i="8" s="1"/>
  <c r="D545" i="8" s="1"/>
  <c r="D563" i="8" s="1"/>
  <c r="D581" i="8" s="1"/>
  <c r="D599" i="8" s="1"/>
  <c r="D617" i="8" s="1"/>
  <c r="D635" i="8" s="1"/>
  <c r="D653" i="8" s="1"/>
  <c r="D671" i="8" s="1"/>
  <c r="D689" i="8" s="1"/>
  <c r="D707" i="8" s="1"/>
  <c r="D725" i="8" s="1"/>
  <c r="D743" i="8" s="1"/>
  <c r="D761" i="8" s="1"/>
  <c r="D779" i="8" s="1"/>
  <c r="D797" i="8" s="1"/>
  <c r="D815" i="8" s="1"/>
  <c r="D833" i="8" s="1"/>
  <c r="D851" i="8" s="1"/>
  <c r="D869" i="8" s="1"/>
  <c r="D887" i="8" s="1"/>
  <c r="D905" i="8" s="1"/>
  <c r="E58" i="8"/>
  <c r="E76" i="8" s="1"/>
  <c r="E94" i="8" s="1"/>
  <c r="E112" i="8" s="1"/>
  <c r="E130" i="8" s="1"/>
  <c r="E148" i="8" s="1"/>
  <c r="E166" i="8" s="1"/>
  <c r="E184" i="8" s="1"/>
  <c r="E202" i="8" s="1"/>
  <c r="E220" i="8" s="1"/>
  <c r="E238" i="8" s="1"/>
  <c r="E256" i="8" s="1"/>
  <c r="E274" i="8" s="1"/>
  <c r="E292" i="8" s="1"/>
  <c r="E310" i="8" s="1"/>
  <c r="E328" i="8" s="1"/>
  <c r="E346" i="8" s="1"/>
  <c r="E364" i="8" s="1"/>
  <c r="E382" i="8" s="1"/>
  <c r="E400" i="8" s="1"/>
  <c r="E418" i="8" s="1"/>
  <c r="E436" i="8" s="1"/>
  <c r="E454" i="8" s="1"/>
  <c r="E472" i="8" s="1"/>
  <c r="E490" i="8" s="1"/>
  <c r="E508" i="8" s="1"/>
  <c r="E526" i="8" s="1"/>
  <c r="E544" i="8" s="1"/>
  <c r="E562" i="8" s="1"/>
  <c r="E580" i="8" s="1"/>
  <c r="E598" i="8" s="1"/>
  <c r="E616" i="8" s="1"/>
  <c r="E634" i="8" s="1"/>
  <c r="E652" i="8" s="1"/>
  <c r="E670" i="8" s="1"/>
  <c r="E688" i="8" s="1"/>
  <c r="E706" i="8" s="1"/>
  <c r="E724" i="8" s="1"/>
  <c r="E742" i="8" s="1"/>
  <c r="E760" i="8" s="1"/>
  <c r="E778" i="8" s="1"/>
  <c r="E796" i="8" s="1"/>
  <c r="E814" i="8" s="1"/>
  <c r="E832" i="8" s="1"/>
  <c r="E850" i="8" s="1"/>
  <c r="E868" i="8" s="1"/>
  <c r="E886" i="8" s="1"/>
  <c r="E904" i="8" s="1"/>
  <c r="E922" i="8" s="1"/>
  <c r="D58" i="8"/>
  <c r="D76" i="8" s="1"/>
  <c r="D94" i="8" s="1"/>
  <c r="D112" i="8" s="1"/>
  <c r="D130" i="8" s="1"/>
  <c r="D148" i="8" s="1"/>
  <c r="D166" i="8" s="1"/>
  <c r="D184" i="8" s="1"/>
  <c r="D202" i="8" s="1"/>
  <c r="D220" i="8" s="1"/>
  <c r="D238" i="8" s="1"/>
  <c r="D256" i="8" s="1"/>
  <c r="D274" i="8" s="1"/>
  <c r="D292" i="8" s="1"/>
  <c r="D310" i="8" s="1"/>
  <c r="D328" i="8" s="1"/>
  <c r="D346" i="8" s="1"/>
  <c r="D364" i="8" s="1"/>
  <c r="D382" i="8" s="1"/>
  <c r="D400" i="8" s="1"/>
  <c r="D418" i="8" s="1"/>
  <c r="D436" i="8" s="1"/>
  <c r="D454" i="8" s="1"/>
  <c r="D472" i="8" s="1"/>
  <c r="D490" i="8" s="1"/>
  <c r="D508" i="8" s="1"/>
  <c r="D526" i="8" s="1"/>
  <c r="D544" i="8" s="1"/>
  <c r="D562" i="8" s="1"/>
  <c r="D580" i="8" s="1"/>
  <c r="D598" i="8" s="1"/>
  <c r="D616" i="8" s="1"/>
  <c r="D634" i="8" s="1"/>
  <c r="D652" i="8" s="1"/>
  <c r="D670" i="8" s="1"/>
  <c r="D688" i="8" s="1"/>
  <c r="D706" i="8" s="1"/>
  <c r="D724" i="8" s="1"/>
  <c r="D742" i="8" s="1"/>
  <c r="D760" i="8" s="1"/>
  <c r="D778" i="8" s="1"/>
  <c r="D796" i="8" s="1"/>
  <c r="D814" i="8" s="1"/>
  <c r="D832" i="8" s="1"/>
  <c r="D850" i="8" s="1"/>
  <c r="D868" i="8" s="1"/>
  <c r="D886" i="8" s="1"/>
  <c r="D904" i="8" s="1"/>
  <c r="D922" i="8" s="1"/>
  <c r="E57" i="8"/>
  <c r="E75" i="8" s="1"/>
  <c r="E93" i="8" s="1"/>
  <c r="E111" i="8" s="1"/>
  <c r="E129" i="8" s="1"/>
  <c r="E147" i="8" s="1"/>
  <c r="E165" i="8" s="1"/>
  <c r="E183" i="8" s="1"/>
  <c r="E201" i="8" s="1"/>
  <c r="E219" i="8" s="1"/>
  <c r="E237" i="8" s="1"/>
  <c r="E255" i="8" s="1"/>
  <c r="E273" i="8" s="1"/>
  <c r="E291" i="8" s="1"/>
  <c r="E309" i="8" s="1"/>
  <c r="E327" i="8" s="1"/>
  <c r="E345" i="8" s="1"/>
  <c r="E363" i="8" s="1"/>
  <c r="E381" i="8" s="1"/>
  <c r="E399" i="8" s="1"/>
  <c r="E417" i="8" s="1"/>
  <c r="E435" i="8" s="1"/>
  <c r="E453" i="8" s="1"/>
  <c r="E471" i="8" s="1"/>
  <c r="E489" i="8" s="1"/>
  <c r="E507" i="8" s="1"/>
  <c r="E525" i="8" s="1"/>
  <c r="E543" i="8" s="1"/>
  <c r="E561" i="8" s="1"/>
  <c r="E579" i="8" s="1"/>
  <c r="E597" i="8" s="1"/>
  <c r="E615" i="8" s="1"/>
  <c r="E633" i="8" s="1"/>
  <c r="E651" i="8" s="1"/>
  <c r="E669" i="8" s="1"/>
  <c r="E687" i="8" s="1"/>
  <c r="E705" i="8" s="1"/>
  <c r="E723" i="8" s="1"/>
  <c r="E741" i="8" s="1"/>
  <c r="E759" i="8" s="1"/>
  <c r="E777" i="8" s="1"/>
  <c r="E795" i="8" s="1"/>
  <c r="E813" i="8" s="1"/>
  <c r="E831" i="8" s="1"/>
  <c r="E849" i="8" s="1"/>
  <c r="E867" i="8" s="1"/>
  <c r="E885" i="8" s="1"/>
  <c r="E903" i="8" s="1"/>
  <c r="E921" i="8" s="1"/>
  <c r="D57" i="8"/>
  <c r="D75" i="8" s="1"/>
  <c r="D93" i="8" s="1"/>
  <c r="D111" i="8" s="1"/>
  <c r="D129" i="8" s="1"/>
  <c r="D147" i="8" s="1"/>
  <c r="D165" i="8" s="1"/>
  <c r="D183" i="8" s="1"/>
  <c r="D201" i="8" s="1"/>
  <c r="D219" i="8" s="1"/>
  <c r="D237" i="8" s="1"/>
  <c r="D255" i="8" s="1"/>
  <c r="D273" i="8" s="1"/>
  <c r="D291" i="8" s="1"/>
  <c r="D309" i="8" s="1"/>
  <c r="D327" i="8" s="1"/>
  <c r="D345" i="8" s="1"/>
  <c r="D363" i="8" s="1"/>
  <c r="D381" i="8" s="1"/>
  <c r="D399" i="8" s="1"/>
  <c r="D417" i="8" s="1"/>
  <c r="D435" i="8" s="1"/>
  <c r="D453" i="8" s="1"/>
  <c r="D471" i="8" s="1"/>
  <c r="D489" i="8" s="1"/>
  <c r="D507" i="8" s="1"/>
  <c r="D525" i="8" s="1"/>
  <c r="D543" i="8" s="1"/>
  <c r="D561" i="8" s="1"/>
  <c r="D579" i="8" s="1"/>
  <c r="D597" i="8" s="1"/>
  <c r="D615" i="8" s="1"/>
  <c r="D633" i="8" s="1"/>
  <c r="D651" i="8" s="1"/>
  <c r="D669" i="8" s="1"/>
  <c r="D687" i="8" s="1"/>
  <c r="D705" i="8" s="1"/>
  <c r="D723" i="8" s="1"/>
  <c r="D741" i="8" s="1"/>
  <c r="D759" i="8" s="1"/>
  <c r="D777" i="8" s="1"/>
  <c r="D795" i="8" s="1"/>
  <c r="D813" i="8" s="1"/>
  <c r="D831" i="8" s="1"/>
  <c r="D849" i="8" s="1"/>
  <c r="D867" i="8" s="1"/>
  <c r="D885" i="8" s="1"/>
  <c r="D903" i="8" s="1"/>
  <c r="D921" i="8" s="1"/>
  <c r="E56" i="8"/>
  <c r="E74" i="8" s="1"/>
  <c r="E92" i="8" s="1"/>
  <c r="E110" i="8" s="1"/>
  <c r="E128" i="8" s="1"/>
  <c r="E146" i="8" s="1"/>
  <c r="E164" i="8" s="1"/>
  <c r="E182" i="8" s="1"/>
  <c r="E200" i="8" s="1"/>
  <c r="E218" i="8" s="1"/>
  <c r="E236" i="8" s="1"/>
  <c r="E254" i="8" s="1"/>
  <c r="E272" i="8" s="1"/>
  <c r="E290" i="8" s="1"/>
  <c r="E308" i="8" s="1"/>
  <c r="E326" i="8" s="1"/>
  <c r="E344" i="8" s="1"/>
  <c r="E362" i="8" s="1"/>
  <c r="E380" i="8" s="1"/>
  <c r="E398" i="8" s="1"/>
  <c r="E416" i="8" s="1"/>
  <c r="E434" i="8" s="1"/>
  <c r="E452" i="8" s="1"/>
  <c r="E470" i="8" s="1"/>
  <c r="E488" i="8" s="1"/>
  <c r="E506" i="8" s="1"/>
  <c r="E524" i="8" s="1"/>
  <c r="E542" i="8" s="1"/>
  <c r="E560" i="8" s="1"/>
  <c r="E578" i="8" s="1"/>
  <c r="E596" i="8" s="1"/>
  <c r="E614" i="8" s="1"/>
  <c r="E632" i="8" s="1"/>
  <c r="E650" i="8" s="1"/>
  <c r="E668" i="8" s="1"/>
  <c r="E686" i="8" s="1"/>
  <c r="E704" i="8" s="1"/>
  <c r="E722" i="8" s="1"/>
  <c r="E740" i="8" s="1"/>
  <c r="E758" i="8" s="1"/>
  <c r="E776" i="8" s="1"/>
  <c r="E794" i="8" s="1"/>
  <c r="E812" i="8" s="1"/>
  <c r="E830" i="8" s="1"/>
  <c r="E848" i="8" s="1"/>
  <c r="E866" i="8" s="1"/>
  <c r="E884" i="8" s="1"/>
  <c r="E902" i="8" s="1"/>
  <c r="E920" i="8" s="1"/>
  <c r="D56" i="8"/>
  <c r="D74" i="8" s="1"/>
  <c r="D92" i="8" s="1"/>
  <c r="D110" i="8" s="1"/>
  <c r="D128" i="8" s="1"/>
  <c r="D146" i="8" s="1"/>
  <c r="D164" i="8" s="1"/>
  <c r="D182" i="8" s="1"/>
  <c r="D200" i="8" s="1"/>
  <c r="D218" i="8" s="1"/>
  <c r="D236" i="8" s="1"/>
  <c r="D254" i="8" s="1"/>
  <c r="D272" i="8" s="1"/>
  <c r="D290" i="8" s="1"/>
  <c r="D308" i="8" s="1"/>
  <c r="D326" i="8" s="1"/>
  <c r="D344" i="8" s="1"/>
  <c r="D362" i="8" s="1"/>
  <c r="D380" i="8" s="1"/>
  <c r="D398" i="8" s="1"/>
  <c r="D416" i="8" s="1"/>
  <c r="D434" i="8" s="1"/>
  <c r="D452" i="8" s="1"/>
  <c r="D470" i="8" s="1"/>
  <c r="D488" i="8" s="1"/>
  <c r="D506" i="8" s="1"/>
  <c r="D524" i="8" s="1"/>
  <c r="D542" i="8" s="1"/>
  <c r="D560" i="8" s="1"/>
  <c r="D578" i="8" s="1"/>
  <c r="D596" i="8" s="1"/>
  <c r="D614" i="8" s="1"/>
  <c r="D632" i="8" s="1"/>
  <c r="D650" i="8" s="1"/>
  <c r="D668" i="8" s="1"/>
  <c r="D686" i="8" s="1"/>
  <c r="D704" i="8" s="1"/>
  <c r="D722" i="8" s="1"/>
  <c r="D740" i="8" s="1"/>
  <c r="D758" i="8" s="1"/>
  <c r="D776" i="8" s="1"/>
  <c r="D794" i="8" s="1"/>
  <c r="D812" i="8" s="1"/>
  <c r="D830" i="8" s="1"/>
  <c r="D848" i="8" s="1"/>
  <c r="D866" i="8" s="1"/>
  <c r="D884" i="8" s="1"/>
  <c r="D902" i="8" s="1"/>
  <c r="D920" i="8" s="1"/>
  <c r="E55" i="8"/>
  <c r="E73" i="8" s="1"/>
  <c r="E91" i="8" s="1"/>
  <c r="E109" i="8" s="1"/>
  <c r="E127" i="8" s="1"/>
  <c r="E145" i="8" s="1"/>
  <c r="E163" i="8" s="1"/>
  <c r="E181" i="8" s="1"/>
  <c r="E199" i="8" s="1"/>
  <c r="E217" i="8" s="1"/>
  <c r="E235" i="8" s="1"/>
  <c r="E253" i="8" s="1"/>
  <c r="E271" i="8" s="1"/>
  <c r="E289" i="8" s="1"/>
  <c r="E307" i="8" s="1"/>
  <c r="E325" i="8" s="1"/>
  <c r="E343" i="8" s="1"/>
  <c r="E361" i="8" s="1"/>
  <c r="E379" i="8" s="1"/>
  <c r="E397" i="8" s="1"/>
  <c r="E415" i="8" s="1"/>
  <c r="E433" i="8" s="1"/>
  <c r="E451" i="8" s="1"/>
  <c r="E469" i="8" s="1"/>
  <c r="E487" i="8" s="1"/>
  <c r="E505" i="8" s="1"/>
  <c r="E523" i="8" s="1"/>
  <c r="E541" i="8" s="1"/>
  <c r="E559" i="8" s="1"/>
  <c r="E577" i="8" s="1"/>
  <c r="E595" i="8" s="1"/>
  <c r="E613" i="8" s="1"/>
  <c r="E631" i="8" s="1"/>
  <c r="E649" i="8" s="1"/>
  <c r="E667" i="8" s="1"/>
  <c r="E685" i="8" s="1"/>
  <c r="E703" i="8" s="1"/>
  <c r="E721" i="8" s="1"/>
  <c r="E739" i="8" s="1"/>
  <c r="E757" i="8" s="1"/>
  <c r="E775" i="8" s="1"/>
  <c r="E793" i="8" s="1"/>
  <c r="E811" i="8" s="1"/>
  <c r="E829" i="8" s="1"/>
  <c r="E847" i="8" s="1"/>
  <c r="E865" i="8" s="1"/>
  <c r="E883" i="8" s="1"/>
  <c r="E901" i="8" s="1"/>
  <c r="E919" i="8" s="1"/>
  <c r="D55" i="8"/>
  <c r="D73" i="8" s="1"/>
  <c r="D91" i="8" s="1"/>
  <c r="D109" i="8" s="1"/>
  <c r="D127" i="8" s="1"/>
  <c r="D145" i="8" s="1"/>
  <c r="D163" i="8" s="1"/>
  <c r="D181" i="8" s="1"/>
  <c r="D199" i="8" s="1"/>
  <c r="D217" i="8" s="1"/>
  <c r="D235" i="8" s="1"/>
  <c r="D253" i="8" s="1"/>
  <c r="D271" i="8" s="1"/>
  <c r="D289" i="8" s="1"/>
  <c r="D307" i="8" s="1"/>
  <c r="D325" i="8" s="1"/>
  <c r="D343" i="8" s="1"/>
  <c r="D361" i="8" s="1"/>
  <c r="D379" i="8" s="1"/>
  <c r="D397" i="8" s="1"/>
  <c r="D415" i="8" s="1"/>
  <c r="D433" i="8" s="1"/>
  <c r="D451" i="8" s="1"/>
  <c r="D469" i="8" s="1"/>
  <c r="D487" i="8" s="1"/>
  <c r="D505" i="8" s="1"/>
  <c r="D523" i="8" s="1"/>
  <c r="D541" i="8" s="1"/>
  <c r="D559" i="8" s="1"/>
  <c r="D577" i="8" s="1"/>
  <c r="D595" i="8" s="1"/>
  <c r="D613" i="8" s="1"/>
  <c r="D631" i="8" s="1"/>
  <c r="D649" i="8" s="1"/>
  <c r="D667" i="8" s="1"/>
  <c r="D685" i="8" s="1"/>
  <c r="D703" i="8" s="1"/>
  <c r="D721" i="8" s="1"/>
  <c r="D739" i="8" s="1"/>
  <c r="D757" i="8" s="1"/>
  <c r="D775" i="8" s="1"/>
  <c r="D793" i="8" s="1"/>
  <c r="D811" i="8" s="1"/>
  <c r="D829" i="8" s="1"/>
  <c r="D847" i="8" s="1"/>
  <c r="D865" i="8" s="1"/>
  <c r="D883" i="8" s="1"/>
  <c r="D901" i="8" s="1"/>
  <c r="D919" i="8" s="1"/>
  <c r="E54" i="8"/>
  <c r="E72" i="8" s="1"/>
  <c r="E90" i="8" s="1"/>
  <c r="E108" i="8" s="1"/>
  <c r="E126" i="8" s="1"/>
  <c r="E144" i="8" s="1"/>
  <c r="E162" i="8" s="1"/>
  <c r="E180" i="8" s="1"/>
  <c r="E198" i="8" s="1"/>
  <c r="E216" i="8" s="1"/>
  <c r="E234" i="8" s="1"/>
  <c r="E252" i="8" s="1"/>
  <c r="E270" i="8" s="1"/>
  <c r="E288" i="8" s="1"/>
  <c r="E306" i="8" s="1"/>
  <c r="E324" i="8" s="1"/>
  <c r="E342" i="8" s="1"/>
  <c r="E360" i="8" s="1"/>
  <c r="E378" i="8" s="1"/>
  <c r="E396" i="8" s="1"/>
  <c r="E414" i="8" s="1"/>
  <c r="E432" i="8" s="1"/>
  <c r="E450" i="8" s="1"/>
  <c r="E468" i="8" s="1"/>
  <c r="E486" i="8" s="1"/>
  <c r="E504" i="8" s="1"/>
  <c r="E522" i="8" s="1"/>
  <c r="E540" i="8" s="1"/>
  <c r="E558" i="8" s="1"/>
  <c r="E576" i="8" s="1"/>
  <c r="E594" i="8" s="1"/>
  <c r="E612" i="8" s="1"/>
  <c r="E630" i="8" s="1"/>
  <c r="E648" i="8" s="1"/>
  <c r="E666" i="8" s="1"/>
  <c r="E684" i="8" s="1"/>
  <c r="E702" i="8" s="1"/>
  <c r="E720" i="8" s="1"/>
  <c r="E738" i="8" s="1"/>
  <c r="E756" i="8" s="1"/>
  <c r="E774" i="8" s="1"/>
  <c r="E792" i="8" s="1"/>
  <c r="E810" i="8" s="1"/>
  <c r="E828" i="8" s="1"/>
  <c r="E846" i="8" s="1"/>
  <c r="E864" i="8" s="1"/>
  <c r="E882" i="8" s="1"/>
  <c r="E900" i="8" s="1"/>
  <c r="E918" i="8" s="1"/>
  <c r="D54" i="8"/>
  <c r="D72" i="8" s="1"/>
  <c r="D90" i="8" s="1"/>
  <c r="D108" i="8" s="1"/>
  <c r="D126" i="8" s="1"/>
  <c r="D144" i="8" s="1"/>
  <c r="D162" i="8" s="1"/>
  <c r="D180" i="8" s="1"/>
  <c r="D198" i="8" s="1"/>
  <c r="D216" i="8" s="1"/>
  <c r="D234" i="8" s="1"/>
  <c r="D252" i="8" s="1"/>
  <c r="D270" i="8" s="1"/>
  <c r="D288" i="8" s="1"/>
  <c r="D306" i="8" s="1"/>
  <c r="D324" i="8" s="1"/>
  <c r="D342" i="8" s="1"/>
  <c r="D360" i="8" s="1"/>
  <c r="D378" i="8" s="1"/>
  <c r="D396" i="8" s="1"/>
  <c r="D414" i="8" s="1"/>
  <c r="D432" i="8" s="1"/>
  <c r="D450" i="8" s="1"/>
  <c r="D468" i="8" s="1"/>
  <c r="D486" i="8" s="1"/>
  <c r="D504" i="8" s="1"/>
  <c r="D522" i="8" s="1"/>
  <c r="D540" i="8" s="1"/>
  <c r="D558" i="8" s="1"/>
  <c r="D576" i="8" s="1"/>
  <c r="D594" i="8" s="1"/>
  <c r="D612" i="8" s="1"/>
  <c r="D630" i="8" s="1"/>
  <c r="D648" i="8" s="1"/>
  <c r="D666" i="8" s="1"/>
  <c r="D684" i="8" s="1"/>
  <c r="D702" i="8" s="1"/>
  <c r="D720" i="8" s="1"/>
  <c r="D738" i="8" s="1"/>
  <c r="D756" i="8" s="1"/>
  <c r="D774" i="8" s="1"/>
  <c r="D792" i="8" s="1"/>
  <c r="D810" i="8" s="1"/>
  <c r="D828" i="8" s="1"/>
  <c r="D846" i="8" s="1"/>
  <c r="D864" i="8" s="1"/>
  <c r="D882" i="8" s="1"/>
  <c r="D900" i="8" s="1"/>
  <c r="D918" i="8" s="1"/>
  <c r="E53" i="8"/>
  <c r="E71" i="8" s="1"/>
  <c r="E89" i="8" s="1"/>
  <c r="E107" i="8" s="1"/>
  <c r="E125" i="8" s="1"/>
  <c r="E143" i="8" s="1"/>
  <c r="E161" i="8" s="1"/>
  <c r="E179" i="8" s="1"/>
  <c r="E197" i="8" s="1"/>
  <c r="E215" i="8" s="1"/>
  <c r="E233" i="8" s="1"/>
  <c r="E251" i="8" s="1"/>
  <c r="E269" i="8" s="1"/>
  <c r="E287" i="8" s="1"/>
  <c r="E305" i="8" s="1"/>
  <c r="E323" i="8" s="1"/>
  <c r="E341" i="8" s="1"/>
  <c r="E359" i="8" s="1"/>
  <c r="E377" i="8" s="1"/>
  <c r="E395" i="8" s="1"/>
  <c r="E413" i="8" s="1"/>
  <c r="E431" i="8" s="1"/>
  <c r="E449" i="8" s="1"/>
  <c r="E467" i="8" s="1"/>
  <c r="E485" i="8" s="1"/>
  <c r="E503" i="8" s="1"/>
  <c r="E521" i="8" s="1"/>
  <c r="E539" i="8" s="1"/>
  <c r="E557" i="8" s="1"/>
  <c r="E575" i="8" s="1"/>
  <c r="E593" i="8" s="1"/>
  <c r="E611" i="8" s="1"/>
  <c r="E629" i="8" s="1"/>
  <c r="E647" i="8" s="1"/>
  <c r="E665" i="8" s="1"/>
  <c r="E683" i="8" s="1"/>
  <c r="E701" i="8" s="1"/>
  <c r="E719" i="8" s="1"/>
  <c r="E737" i="8" s="1"/>
  <c r="E755" i="8" s="1"/>
  <c r="E773" i="8" s="1"/>
  <c r="E791" i="8" s="1"/>
  <c r="E809" i="8" s="1"/>
  <c r="E827" i="8" s="1"/>
  <c r="E845" i="8" s="1"/>
  <c r="E863" i="8" s="1"/>
  <c r="E881" i="8" s="1"/>
  <c r="E899" i="8" s="1"/>
  <c r="E917" i="8" s="1"/>
  <c r="D53" i="8"/>
  <c r="D71" i="8" s="1"/>
  <c r="D89" i="8" s="1"/>
  <c r="D107" i="8" s="1"/>
  <c r="D125" i="8" s="1"/>
  <c r="D143" i="8" s="1"/>
  <c r="D161" i="8" s="1"/>
  <c r="D179" i="8" s="1"/>
  <c r="D197" i="8" s="1"/>
  <c r="D215" i="8" s="1"/>
  <c r="D233" i="8" s="1"/>
  <c r="D251" i="8" s="1"/>
  <c r="D269" i="8" s="1"/>
  <c r="D287" i="8" s="1"/>
  <c r="D305" i="8" s="1"/>
  <c r="D323" i="8" s="1"/>
  <c r="D341" i="8" s="1"/>
  <c r="D359" i="8" s="1"/>
  <c r="D377" i="8" s="1"/>
  <c r="D395" i="8" s="1"/>
  <c r="D413" i="8" s="1"/>
  <c r="D431" i="8" s="1"/>
  <c r="D449" i="8" s="1"/>
  <c r="D467" i="8" s="1"/>
  <c r="D485" i="8" s="1"/>
  <c r="D503" i="8" s="1"/>
  <c r="D521" i="8" s="1"/>
  <c r="D539" i="8" s="1"/>
  <c r="D557" i="8" s="1"/>
  <c r="D575" i="8" s="1"/>
  <c r="D593" i="8" s="1"/>
  <c r="D611" i="8" s="1"/>
  <c r="D629" i="8" s="1"/>
  <c r="D647" i="8" s="1"/>
  <c r="D665" i="8" s="1"/>
  <c r="D683" i="8" s="1"/>
  <c r="D701" i="8" s="1"/>
  <c r="D719" i="8" s="1"/>
  <c r="D737" i="8" s="1"/>
  <c r="D755" i="8" s="1"/>
  <c r="D773" i="8" s="1"/>
  <c r="D791" i="8" s="1"/>
  <c r="D809" i="8" s="1"/>
  <c r="D827" i="8" s="1"/>
  <c r="D845" i="8" s="1"/>
  <c r="D863" i="8" s="1"/>
  <c r="D881" i="8" s="1"/>
  <c r="D899" i="8" s="1"/>
  <c r="D917" i="8" s="1"/>
  <c r="E52" i="8"/>
  <c r="E70" i="8" s="1"/>
  <c r="E88" i="8" s="1"/>
  <c r="E106" i="8" s="1"/>
  <c r="E124" i="8" s="1"/>
  <c r="E142" i="8" s="1"/>
  <c r="E160" i="8" s="1"/>
  <c r="E178" i="8" s="1"/>
  <c r="E196" i="8" s="1"/>
  <c r="E214" i="8" s="1"/>
  <c r="E232" i="8" s="1"/>
  <c r="E250" i="8" s="1"/>
  <c r="E268" i="8" s="1"/>
  <c r="E286" i="8" s="1"/>
  <c r="E304" i="8" s="1"/>
  <c r="E322" i="8" s="1"/>
  <c r="E340" i="8" s="1"/>
  <c r="E358" i="8" s="1"/>
  <c r="E376" i="8" s="1"/>
  <c r="E394" i="8" s="1"/>
  <c r="E412" i="8" s="1"/>
  <c r="E430" i="8" s="1"/>
  <c r="E448" i="8" s="1"/>
  <c r="E466" i="8" s="1"/>
  <c r="E484" i="8" s="1"/>
  <c r="E502" i="8" s="1"/>
  <c r="E520" i="8" s="1"/>
  <c r="E538" i="8" s="1"/>
  <c r="E556" i="8" s="1"/>
  <c r="E574" i="8" s="1"/>
  <c r="E592" i="8" s="1"/>
  <c r="E610" i="8" s="1"/>
  <c r="E628" i="8" s="1"/>
  <c r="E646" i="8" s="1"/>
  <c r="E664" i="8" s="1"/>
  <c r="E682" i="8" s="1"/>
  <c r="E700" i="8" s="1"/>
  <c r="E718" i="8" s="1"/>
  <c r="E736" i="8" s="1"/>
  <c r="E754" i="8" s="1"/>
  <c r="E772" i="8" s="1"/>
  <c r="E790" i="8" s="1"/>
  <c r="E808" i="8" s="1"/>
  <c r="E826" i="8" s="1"/>
  <c r="E844" i="8" s="1"/>
  <c r="E862" i="8" s="1"/>
  <c r="E880" i="8" s="1"/>
  <c r="E898" i="8" s="1"/>
  <c r="E916" i="8" s="1"/>
  <c r="D52" i="8"/>
  <c r="D70" i="8" s="1"/>
  <c r="D88" i="8" s="1"/>
  <c r="D106" i="8" s="1"/>
  <c r="D124" i="8" s="1"/>
  <c r="D142" i="8" s="1"/>
  <c r="D160" i="8" s="1"/>
  <c r="D178" i="8" s="1"/>
  <c r="D196" i="8" s="1"/>
  <c r="D214" i="8" s="1"/>
  <c r="D232" i="8" s="1"/>
  <c r="D250" i="8" s="1"/>
  <c r="D268" i="8" s="1"/>
  <c r="D286" i="8" s="1"/>
  <c r="D304" i="8" s="1"/>
  <c r="D322" i="8" s="1"/>
  <c r="D340" i="8" s="1"/>
  <c r="D358" i="8" s="1"/>
  <c r="D376" i="8" s="1"/>
  <c r="D394" i="8" s="1"/>
  <c r="D412" i="8" s="1"/>
  <c r="D430" i="8" s="1"/>
  <c r="D448" i="8" s="1"/>
  <c r="D466" i="8" s="1"/>
  <c r="D484" i="8" s="1"/>
  <c r="D502" i="8" s="1"/>
  <c r="D520" i="8" s="1"/>
  <c r="D538" i="8" s="1"/>
  <c r="D556" i="8" s="1"/>
  <c r="D574" i="8" s="1"/>
  <c r="D592" i="8" s="1"/>
  <c r="D610" i="8" s="1"/>
  <c r="D628" i="8" s="1"/>
  <c r="D646" i="8" s="1"/>
  <c r="D664" i="8" s="1"/>
  <c r="D682" i="8" s="1"/>
  <c r="D700" i="8" s="1"/>
  <c r="D718" i="8" s="1"/>
  <c r="D736" i="8" s="1"/>
  <c r="D754" i="8" s="1"/>
  <c r="D772" i="8" s="1"/>
  <c r="D790" i="8" s="1"/>
  <c r="D808" i="8" s="1"/>
  <c r="D826" i="8" s="1"/>
  <c r="D844" i="8" s="1"/>
  <c r="D862" i="8" s="1"/>
  <c r="D880" i="8" s="1"/>
  <c r="D898" i="8" s="1"/>
  <c r="D916" i="8" s="1"/>
  <c r="E51" i="8"/>
  <c r="E69" i="8" s="1"/>
  <c r="E87" i="8" s="1"/>
  <c r="E105" i="8" s="1"/>
  <c r="E123" i="8" s="1"/>
  <c r="E141" i="8" s="1"/>
  <c r="E159" i="8" s="1"/>
  <c r="E177" i="8" s="1"/>
  <c r="E195" i="8" s="1"/>
  <c r="E213" i="8" s="1"/>
  <c r="E231" i="8" s="1"/>
  <c r="E249" i="8" s="1"/>
  <c r="E267" i="8" s="1"/>
  <c r="E285" i="8" s="1"/>
  <c r="E303" i="8" s="1"/>
  <c r="E321" i="8" s="1"/>
  <c r="E339" i="8" s="1"/>
  <c r="E357" i="8" s="1"/>
  <c r="E375" i="8" s="1"/>
  <c r="E393" i="8" s="1"/>
  <c r="E411" i="8" s="1"/>
  <c r="E429" i="8" s="1"/>
  <c r="E447" i="8" s="1"/>
  <c r="E465" i="8" s="1"/>
  <c r="E483" i="8" s="1"/>
  <c r="E501" i="8" s="1"/>
  <c r="E519" i="8" s="1"/>
  <c r="E537" i="8" s="1"/>
  <c r="E555" i="8" s="1"/>
  <c r="E573" i="8" s="1"/>
  <c r="E591" i="8" s="1"/>
  <c r="E609" i="8" s="1"/>
  <c r="E627" i="8" s="1"/>
  <c r="E645" i="8" s="1"/>
  <c r="E663" i="8" s="1"/>
  <c r="E681" i="8" s="1"/>
  <c r="E699" i="8" s="1"/>
  <c r="E717" i="8" s="1"/>
  <c r="E735" i="8" s="1"/>
  <c r="E753" i="8" s="1"/>
  <c r="E771" i="8" s="1"/>
  <c r="E789" i="8" s="1"/>
  <c r="E807" i="8" s="1"/>
  <c r="E825" i="8" s="1"/>
  <c r="E843" i="8" s="1"/>
  <c r="E861" i="8" s="1"/>
  <c r="E879" i="8" s="1"/>
  <c r="E897" i="8" s="1"/>
  <c r="E915" i="8" s="1"/>
  <c r="D51" i="8"/>
  <c r="D69" i="8" s="1"/>
  <c r="D87" i="8" s="1"/>
  <c r="D105" i="8" s="1"/>
  <c r="D123" i="8" s="1"/>
  <c r="D141" i="8" s="1"/>
  <c r="D159" i="8" s="1"/>
  <c r="D177" i="8" s="1"/>
  <c r="D195" i="8" s="1"/>
  <c r="D213" i="8" s="1"/>
  <c r="D231" i="8" s="1"/>
  <c r="D249" i="8" s="1"/>
  <c r="D267" i="8" s="1"/>
  <c r="D285" i="8" s="1"/>
  <c r="D303" i="8" s="1"/>
  <c r="D321" i="8" s="1"/>
  <c r="D339" i="8" s="1"/>
  <c r="D357" i="8" s="1"/>
  <c r="D375" i="8" s="1"/>
  <c r="D393" i="8" s="1"/>
  <c r="D411" i="8" s="1"/>
  <c r="D429" i="8" s="1"/>
  <c r="D447" i="8" s="1"/>
  <c r="D465" i="8" s="1"/>
  <c r="D483" i="8" s="1"/>
  <c r="D501" i="8" s="1"/>
  <c r="D519" i="8" s="1"/>
  <c r="D537" i="8" s="1"/>
  <c r="D555" i="8" s="1"/>
  <c r="D573" i="8" s="1"/>
  <c r="D591" i="8" s="1"/>
  <c r="D609" i="8" s="1"/>
  <c r="D627" i="8" s="1"/>
  <c r="D645" i="8" s="1"/>
  <c r="D663" i="8" s="1"/>
  <c r="D681" i="8" s="1"/>
  <c r="D699" i="8" s="1"/>
  <c r="D717" i="8" s="1"/>
  <c r="D735" i="8" s="1"/>
  <c r="D753" i="8" s="1"/>
  <c r="D771" i="8" s="1"/>
  <c r="D789" i="8" s="1"/>
  <c r="D807" i="8" s="1"/>
  <c r="D825" i="8" s="1"/>
  <c r="D843" i="8" s="1"/>
  <c r="D861" i="8" s="1"/>
  <c r="D879" i="8" s="1"/>
  <c r="D897" i="8" s="1"/>
  <c r="D915" i="8" s="1"/>
  <c r="E50" i="8"/>
  <c r="E68" i="8" s="1"/>
  <c r="E86" i="8" s="1"/>
  <c r="E104" i="8" s="1"/>
  <c r="E122" i="8" s="1"/>
  <c r="E140" i="8" s="1"/>
  <c r="E158" i="8" s="1"/>
  <c r="E176" i="8" s="1"/>
  <c r="E194" i="8" s="1"/>
  <c r="E212" i="8" s="1"/>
  <c r="E230" i="8" s="1"/>
  <c r="E248" i="8" s="1"/>
  <c r="E266" i="8" s="1"/>
  <c r="E284" i="8" s="1"/>
  <c r="E302" i="8" s="1"/>
  <c r="E320" i="8" s="1"/>
  <c r="E338" i="8" s="1"/>
  <c r="E356" i="8" s="1"/>
  <c r="E374" i="8" s="1"/>
  <c r="E392" i="8" s="1"/>
  <c r="E410" i="8" s="1"/>
  <c r="E428" i="8" s="1"/>
  <c r="E446" i="8" s="1"/>
  <c r="E464" i="8" s="1"/>
  <c r="E482" i="8" s="1"/>
  <c r="E500" i="8" s="1"/>
  <c r="E518" i="8" s="1"/>
  <c r="E536" i="8" s="1"/>
  <c r="E554" i="8" s="1"/>
  <c r="E572" i="8" s="1"/>
  <c r="E590" i="8" s="1"/>
  <c r="E608" i="8" s="1"/>
  <c r="E626" i="8" s="1"/>
  <c r="E644" i="8" s="1"/>
  <c r="E662" i="8" s="1"/>
  <c r="E680" i="8" s="1"/>
  <c r="E698" i="8" s="1"/>
  <c r="E716" i="8" s="1"/>
  <c r="E734" i="8" s="1"/>
  <c r="D50" i="8"/>
  <c r="D68" i="8" s="1"/>
  <c r="D86" i="8" s="1"/>
  <c r="D104" i="8" s="1"/>
  <c r="D122" i="8" s="1"/>
  <c r="D140" i="8" s="1"/>
  <c r="D158" i="8" s="1"/>
  <c r="D176" i="8" s="1"/>
  <c r="D194" i="8" s="1"/>
  <c r="D212" i="8" s="1"/>
  <c r="D230" i="8" s="1"/>
  <c r="D248" i="8" s="1"/>
  <c r="D266" i="8" s="1"/>
  <c r="D284" i="8" s="1"/>
  <c r="D302" i="8" s="1"/>
  <c r="D320" i="8" s="1"/>
  <c r="D338" i="8" s="1"/>
  <c r="D356" i="8" s="1"/>
  <c r="D374" i="8" s="1"/>
  <c r="D392" i="8" s="1"/>
  <c r="D410" i="8" s="1"/>
  <c r="D428" i="8" s="1"/>
  <c r="D446" i="8" s="1"/>
  <c r="D464" i="8" s="1"/>
  <c r="D482" i="8" s="1"/>
  <c r="D500" i="8" s="1"/>
  <c r="D518" i="8" s="1"/>
  <c r="D536" i="8" s="1"/>
  <c r="D554" i="8" s="1"/>
  <c r="D572" i="8" s="1"/>
  <c r="D590" i="8" s="1"/>
  <c r="D608" i="8" s="1"/>
  <c r="D626" i="8" s="1"/>
  <c r="D644" i="8" s="1"/>
  <c r="D662" i="8" s="1"/>
  <c r="D680" i="8" s="1"/>
  <c r="D698" i="8" s="1"/>
  <c r="D716" i="8" s="1"/>
  <c r="D734" i="8" s="1"/>
  <c r="E49" i="8"/>
  <c r="E67" i="8" s="1"/>
  <c r="E85" i="8" s="1"/>
  <c r="E103" i="8" s="1"/>
  <c r="E121" i="8" s="1"/>
  <c r="E139" i="8" s="1"/>
  <c r="E157" i="8" s="1"/>
  <c r="E175" i="8" s="1"/>
  <c r="E193" i="8" s="1"/>
  <c r="E211" i="8" s="1"/>
  <c r="E229" i="8" s="1"/>
  <c r="E247" i="8" s="1"/>
  <c r="E265" i="8" s="1"/>
  <c r="E283" i="8" s="1"/>
  <c r="E301" i="8" s="1"/>
  <c r="E319" i="8" s="1"/>
  <c r="E337" i="8" s="1"/>
  <c r="E355" i="8" s="1"/>
  <c r="E373" i="8" s="1"/>
  <c r="E391" i="8" s="1"/>
  <c r="E409" i="8" s="1"/>
  <c r="E427" i="8" s="1"/>
  <c r="E445" i="8" s="1"/>
  <c r="E463" i="8" s="1"/>
  <c r="E481" i="8" s="1"/>
  <c r="E499" i="8" s="1"/>
  <c r="E517" i="8" s="1"/>
  <c r="E535" i="8" s="1"/>
  <c r="E553" i="8" s="1"/>
  <c r="E571" i="8" s="1"/>
  <c r="E589" i="8" s="1"/>
  <c r="E607" i="8" s="1"/>
  <c r="E625" i="8" s="1"/>
  <c r="E643" i="8" s="1"/>
  <c r="E661" i="8" s="1"/>
  <c r="E679" i="8" s="1"/>
  <c r="E697" i="8" s="1"/>
  <c r="E715" i="8" s="1"/>
  <c r="E733" i="8" s="1"/>
  <c r="E751" i="8" s="1"/>
  <c r="E769" i="8" s="1"/>
  <c r="E787" i="8" s="1"/>
  <c r="E805" i="8" s="1"/>
  <c r="E823" i="8" s="1"/>
  <c r="E841" i="8" s="1"/>
  <c r="E859" i="8" s="1"/>
  <c r="E877" i="8" s="1"/>
  <c r="E895" i="8" s="1"/>
  <c r="E913" i="8" s="1"/>
  <c r="D49" i="8"/>
  <c r="D67" i="8" s="1"/>
  <c r="D85" i="8" s="1"/>
  <c r="D103" i="8" s="1"/>
  <c r="D121" i="8" s="1"/>
  <c r="D139" i="8" s="1"/>
  <c r="D157" i="8" s="1"/>
  <c r="D175" i="8" s="1"/>
  <c r="D193" i="8" s="1"/>
  <c r="D211" i="8" s="1"/>
  <c r="D229" i="8" s="1"/>
  <c r="D247" i="8" s="1"/>
  <c r="D265" i="8" s="1"/>
  <c r="D283" i="8" s="1"/>
  <c r="D301" i="8" s="1"/>
  <c r="D319" i="8" s="1"/>
  <c r="D337" i="8" s="1"/>
  <c r="D355" i="8" s="1"/>
  <c r="D373" i="8" s="1"/>
  <c r="D391" i="8" s="1"/>
  <c r="D409" i="8" s="1"/>
  <c r="D427" i="8" s="1"/>
  <c r="D445" i="8" s="1"/>
  <c r="D463" i="8" s="1"/>
  <c r="D481" i="8" s="1"/>
  <c r="D499" i="8" s="1"/>
  <c r="D517" i="8" s="1"/>
  <c r="D535" i="8" s="1"/>
  <c r="D553" i="8" s="1"/>
  <c r="D571" i="8" s="1"/>
  <c r="D589" i="8" s="1"/>
  <c r="D607" i="8" s="1"/>
  <c r="D625" i="8" s="1"/>
  <c r="D643" i="8" s="1"/>
  <c r="D661" i="8" s="1"/>
  <c r="D679" i="8" s="1"/>
  <c r="D697" i="8" s="1"/>
  <c r="D715" i="8" s="1"/>
  <c r="D733" i="8" s="1"/>
  <c r="D751" i="8" s="1"/>
  <c r="D769" i="8" s="1"/>
  <c r="D787" i="8" s="1"/>
  <c r="D805" i="8" s="1"/>
  <c r="D823" i="8" s="1"/>
  <c r="D841" i="8" s="1"/>
  <c r="D859" i="8" s="1"/>
  <c r="D877" i="8" s="1"/>
  <c r="D895" i="8" s="1"/>
  <c r="D913" i="8" s="1"/>
  <c r="E48" i="8"/>
  <c r="E66" i="8" s="1"/>
  <c r="E84" i="8" s="1"/>
  <c r="E102" i="8" s="1"/>
  <c r="E120" i="8" s="1"/>
  <c r="E138" i="8" s="1"/>
  <c r="E156" i="8" s="1"/>
  <c r="E174" i="8" s="1"/>
  <c r="E192" i="8" s="1"/>
  <c r="E210" i="8" s="1"/>
  <c r="E228" i="8" s="1"/>
  <c r="E246" i="8" s="1"/>
  <c r="E264" i="8" s="1"/>
  <c r="E282" i="8" s="1"/>
  <c r="E300" i="8" s="1"/>
  <c r="E318" i="8" s="1"/>
  <c r="E336" i="8" s="1"/>
  <c r="E354" i="8" s="1"/>
  <c r="E372" i="8" s="1"/>
  <c r="E390" i="8" s="1"/>
  <c r="E408" i="8" s="1"/>
  <c r="E426" i="8" s="1"/>
  <c r="E444" i="8" s="1"/>
  <c r="E462" i="8" s="1"/>
  <c r="E480" i="8" s="1"/>
  <c r="E498" i="8" s="1"/>
  <c r="E516" i="8" s="1"/>
  <c r="E534" i="8" s="1"/>
  <c r="E552" i="8" s="1"/>
  <c r="E570" i="8" s="1"/>
  <c r="E588" i="8" s="1"/>
  <c r="E606" i="8" s="1"/>
  <c r="E624" i="8" s="1"/>
  <c r="E642" i="8" s="1"/>
  <c r="E660" i="8" s="1"/>
  <c r="E678" i="8" s="1"/>
  <c r="E696" i="8" s="1"/>
  <c r="E714" i="8" s="1"/>
  <c r="E732" i="8" s="1"/>
  <c r="E750" i="8" s="1"/>
  <c r="E768" i="8" s="1"/>
  <c r="E786" i="8" s="1"/>
  <c r="E804" i="8" s="1"/>
  <c r="E822" i="8" s="1"/>
  <c r="E840" i="8" s="1"/>
  <c r="E858" i="8" s="1"/>
  <c r="E876" i="8" s="1"/>
  <c r="E894" i="8" s="1"/>
  <c r="E912" i="8" s="1"/>
  <c r="D48" i="8"/>
  <c r="D66" i="8" s="1"/>
  <c r="D84" i="8" s="1"/>
  <c r="D102" i="8" s="1"/>
  <c r="D120" i="8" s="1"/>
  <c r="D138" i="8" s="1"/>
  <c r="D156" i="8" s="1"/>
  <c r="D174" i="8" s="1"/>
  <c r="D192" i="8" s="1"/>
  <c r="D210" i="8" s="1"/>
  <c r="D228" i="8" s="1"/>
  <c r="D246" i="8" s="1"/>
  <c r="D264" i="8" s="1"/>
  <c r="D282" i="8" s="1"/>
  <c r="D300" i="8" s="1"/>
  <c r="D318" i="8" s="1"/>
  <c r="D336" i="8" s="1"/>
  <c r="D354" i="8" s="1"/>
  <c r="D372" i="8" s="1"/>
  <c r="D390" i="8" s="1"/>
  <c r="D408" i="8" s="1"/>
  <c r="D426" i="8" s="1"/>
  <c r="D444" i="8" s="1"/>
  <c r="D462" i="8" s="1"/>
  <c r="D480" i="8" s="1"/>
  <c r="D498" i="8" s="1"/>
  <c r="D516" i="8" s="1"/>
  <c r="D534" i="8" s="1"/>
  <c r="D552" i="8" s="1"/>
  <c r="D570" i="8" s="1"/>
  <c r="D588" i="8" s="1"/>
  <c r="D606" i="8" s="1"/>
  <c r="D624" i="8" s="1"/>
  <c r="D642" i="8" s="1"/>
  <c r="D660" i="8" s="1"/>
  <c r="D678" i="8" s="1"/>
  <c r="D696" i="8" s="1"/>
  <c r="D714" i="8" s="1"/>
  <c r="D732" i="8" s="1"/>
  <c r="D750" i="8" s="1"/>
  <c r="D768" i="8" s="1"/>
  <c r="D786" i="8" s="1"/>
  <c r="D804" i="8" s="1"/>
  <c r="D822" i="8" s="1"/>
  <c r="D840" i="8" s="1"/>
  <c r="D858" i="8" s="1"/>
  <c r="D876" i="8" s="1"/>
  <c r="D894" i="8" s="1"/>
  <c r="D912" i="8" s="1"/>
  <c r="E47" i="8"/>
  <c r="E65" i="8" s="1"/>
  <c r="E83" i="8" s="1"/>
  <c r="E101" i="8" s="1"/>
  <c r="E119" i="8" s="1"/>
  <c r="E137" i="8" s="1"/>
  <c r="E155" i="8" s="1"/>
  <c r="E173" i="8" s="1"/>
  <c r="E191" i="8" s="1"/>
  <c r="E209" i="8" s="1"/>
  <c r="E227" i="8" s="1"/>
  <c r="E245" i="8" s="1"/>
  <c r="E263" i="8" s="1"/>
  <c r="E281" i="8" s="1"/>
  <c r="E299" i="8" s="1"/>
  <c r="E317" i="8" s="1"/>
  <c r="E335" i="8" s="1"/>
  <c r="E353" i="8" s="1"/>
  <c r="E371" i="8" s="1"/>
  <c r="E389" i="8" s="1"/>
  <c r="E407" i="8" s="1"/>
  <c r="E425" i="8" s="1"/>
  <c r="E443" i="8" s="1"/>
  <c r="E461" i="8" s="1"/>
  <c r="E479" i="8" s="1"/>
  <c r="E497" i="8" s="1"/>
  <c r="E515" i="8" s="1"/>
  <c r="E533" i="8" s="1"/>
  <c r="E551" i="8" s="1"/>
  <c r="E569" i="8" s="1"/>
  <c r="E587" i="8" s="1"/>
  <c r="E605" i="8" s="1"/>
  <c r="E623" i="8" s="1"/>
  <c r="E641" i="8" s="1"/>
  <c r="E659" i="8" s="1"/>
  <c r="E677" i="8" s="1"/>
  <c r="E695" i="8" s="1"/>
  <c r="E713" i="8" s="1"/>
  <c r="E731" i="8" s="1"/>
  <c r="E749" i="8" s="1"/>
  <c r="E767" i="8" s="1"/>
  <c r="E785" i="8" s="1"/>
  <c r="E803" i="8" s="1"/>
  <c r="E821" i="8" s="1"/>
  <c r="E839" i="8" s="1"/>
  <c r="E857" i="8" s="1"/>
  <c r="E875" i="8" s="1"/>
  <c r="E893" i="8" s="1"/>
  <c r="E911" i="8" s="1"/>
  <c r="D47" i="8"/>
  <c r="D65" i="8" s="1"/>
  <c r="D83" i="8" s="1"/>
  <c r="D101" i="8" s="1"/>
  <c r="D119" i="8" s="1"/>
  <c r="D137" i="8" s="1"/>
  <c r="D155" i="8" s="1"/>
  <c r="D173" i="8" s="1"/>
  <c r="D191" i="8" s="1"/>
  <c r="D209" i="8" s="1"/>
  <c r="D227" i="8" s="1"/>
  <c r="D245" i="8" s="1"/>
  <c r="D263" i="8" s="1"/>
  <c r="D281" i="8" s="1"/>
  <c r="D299" i="8" s="1"/>
  <c r="D317" i="8" s="1"/>
  <c r="D335" i="8" s="1"/>
  <c r="D353" i="8" s="1"/>
  <c r="D371" i="8" s="1"/>
  <c r="D389" i="8" s="1"/>
  <c r="D407" i="8" s="1"/>
  <c r="D425" i="8" s="1"/>
  <c r="D443" i="8" s="1"/>
  <c r="D461" i="8" s="1"/>
  <c r="D479" i="8" s="1"/>
  <c r="D497" i="8" s="1"/>
  <c r="D515" i="8" s="1"/>
  <c r="D533" i="8" s="1"/>
  <c r="D551" i="8" s="1"/>
  <c r="D569" i="8" s="1"/>
  <c r="D587" i="8" s="1"/>
  <c r="D605" i="8" s="1"/>
  <c r="D623" i="8" s="1"/>
  <c r="D641" i="8" s="1"/>
  <c r="D659" i="8" s="1"/>
  <c r="D677" i="8" s="1"/>
  <c r="D695" i="8" s="1"/>
  <c r="D713" i="8" s="1"/>
  <c r="D731" i="8" s="1"/>
  <c r="D749" i="8" s="1"/>
  <c r="D767" i="8" s="1"/>
  <c r="D785" i="8" s="1"/>
  <c r="D803" i="8" s="1"/>
  <c r="D821" i="8" s="1"/>
  <c r="D839" i="8" s="1"/>
  <c r="D857" i="8" s="1"/>
  <c r="D875" i="8" s="1"/>
  <c r="D893" i="8" s="1"/>
  <c r="D911" i="8" s="1"/>
  <c r="E46" i="8"/>
  <c r="E64" i="8" s="1"/>
  <c r="E82" i="8" s="1"/>
  <c r="E100" i="8" s="1"/>
  <c r="E118" i="8" s="1"/>
  <c r="E136" i="8" s="1"/>
  <c r="E154" i="8" s="1"/>
  <c r="E172" i="8" s="1"/>
  <c r="E190" i="8" s="1"/>
  <c r="E208" i="8" s="1"/>
  <c r="E226" i="8" s="1"/>
  <c r="E244" i="8" s="1"/>
  <c r="E262" i="8" s="1"/>
  <c r="E280" i="8" s="1"/>
  <c r="E298" i="8" s="1"/>
  <c r="E316" i="8" s="1"/>
  <c r="E334" i="8" s="1"/>
  <c r="E352" i="8" s="1"/>
  <c r="E370" i="8" s="1"/>
  <c r="E388" i="8" s="1"/>
  <c r="E406" i="8" s="1"/>
  <c r="E424" i="8" s="1"/>
  <c r="E442" i="8" s="1"/>
  <c r="E460" i="8" s="1"/>
  <c r="E478" i="8" s="1"/>
  <c r="E496" i="8" s="1"/>
  <c r="E514" i="8" s="1"/>
  <c r="E532" i="8" s="1"/>
  <c r="E550" i="8" s="1"/>
  <c r="E568" i="8" s="1"/>
  <c r="E586" i="8" s="1"/>
  <c r="E604" i="8" s="1"/>
  <c r="E622" i="8" s="1"/>
  <c r="E640" i="8" s="1"/>
  <c r="E658" i="8" s="1"/>
  <c r="E676" i="8" s="1"/>
  <c r="E694" i="8" s="1"/>
  <c r="E712" i="8" s="1"/>
  <c r="E730" i="8" s="1"/>
  <c r="E748" i="8" s="1"/>
  <c r="E766" i="8" s="1"/>
  <c r="E784" i="8" s="1"/>
  <c r="E802" i="8" s="1"/>
  <c r="E820" i="8" s="1"/>
  <c r="E838" i="8" s="1"/>
  <c r="E856" i="8" s="1"/>
  <c r="E874" i="8" s="1"/>
  <c r="E892" i="8" s="1"/>
  <c r="E910" i="8" s="1"/>
  <c r="D46" i="8"/>
  <c r="D64" i="8" s="1"/>
  <c r="D82" i="8" s="1"/>
  <c r="D100" i="8" s="1"/>
  <c r="D118" i="8" s="1"/>
  <c r="D136" i="8" s="1"/>
  <c r="D154" i="8" s="1"/>
  <c r="D172" i="8" s="1"/>
  <c r="D190" i="8" s="1"/>
  <c r="D208" i="8" s="1"/>
  <c r="D226" i="8" s="1"/>
  <c r="D244" i="8" s="1"/>
  <c r="D262" i="8" s="1"/>
  <c r="D280" i="8" s="1"/>
  <c r="D298" i="8" s="1"/>
  <c r="D316" i="8" s="1"/>
  <c r="D334" i="8" s="1"/>
  <c r="D352" i="8" s="1"/>
  <c r="D370" i="8" s="1"/>
  <c r="D388" i="8" s="1"/>
  <c r="D406" i="8" s="1"/>
  <c r="D424" i="8" s="1"/>
  <c r="D442" i="8" s="1"/>
  <c r="D460" i="8" s="1"/>
  <c r="D478" i="8" s="1"/>
  <c r="D496" i="8" s="1"/>
  <c r="D514" i="8" s="1"/>
  <c r="D532" i="8" s="1"/>
  <c r="D550" i="8" s="1"/>
  <c r="D568" i="8" s="1"/>
  <c r="D586" i="8" s="1"/>
  <c r="D604" i="8" s="1"/>
  <c r="D622" i="8" s="1"/>
  <c r="D640" i="8" s="1"/>
  <c r="D658" i="8" s="1"/>
  <c r="D676" i="8" s="1"/>
  <c r="D694" i="8" s="1"/>
  <c r="D712" i="8" s="1"/>
  <c r="D730" i="8" s="1"/>
  <c r="D748" i="8" s="1"/>
  <c r="D766" i="8" s="1"/>
  <c r="D784" i="8" s="1"/>
  <c r="D802" i="8" s="1"/>
  <c r="D820" i="8" s="1"/>
  <c r="D838" i="8" s="1"/>
  <c r="D856" i="8" s="1"/>
  <c r="D874" i="8" s="1"/>
  <c r="D892" i="8" s="1"/>
  <c r="D910" i="8" s="1"/>
  <c r="E45" i="8"/>
  <c r="E63" i="8" s="1"/>
  <c r="E81" i="8" s="1"/>
  <c r="E99" i="8" s="1"/>
  <c r="E117" i="8" s="1"/>
  <c r="E135" i="8" s="1"/>
  <c r="E153" i="8" s="1"/>
  <c r="E171" i="8" s="1"/>
  <c r="E189" i="8" s="1"/>
  <c r="E207" i="8" s="1"/>
  <c r="E225" i="8" s="1"/>
  <c r="E243" i="8" s="1"/>
  <c r="E261" i="8" s="1"/>
  <c r="E279" i="8" s="1"/>
  <c r="E297" i="8" s="1"/>
  <c r="E315" i="8" s="1"/>
  <c r="E333" i="8" s="1"/>
  <c r="E351" i="8" s="1"/>
  <c r="E369" i="8" s="1"/>
  <c r="E387" i="8" s="1"/>
  <c r="E405" i="8" s="1"/>
  <c r="E423" i="8" s="1"/>
  <c r="E441" i="8" s="1"/>
  <c r="E459" i="8" s="1"/>
  <c r="E477" i="8" s="1"/>
  <c r="E495" i="8" s="1"/>
  <c r="E513" i="8" s="1"/>
  <c r="E531" i="8" s="1"/>
  <c r="E549" i="8" s="1"/>
  <c r="E567" i="8" s="1"/>
  <c r="E585" i="8" s="1"/>
  <c r="E603" i="8" s="1"/>
  <c r="E621" i="8" s="1"/>
  <c r="E639" i="8" s="1"/>
  <c r="E657" i="8" s="1"/>
  <c r="E675" i="8" s="1"/>
  <c r="E693" i="8" s="1"/>
  <c r="E711" i="8" s="1"/>
  <c r="E729" i="8" s="1"/>
  <c r="E747" i="8" s="1"/>
  <c r="E765" i="8" s="1"/>
  <c r="E783" i="8" s="1"/>
  <c r="E801" i="8" s="1"/>
  <c r="E819" i="8" s="1"/>
  <c r="E837" i="8" s="1"/>
  <c r="E855" i="8" s="1"/>
  <c r="E873" i="8" s="1"/>
  <c r="E891" i="8" s="1"/>
  <c r="E909" i="8" s="1"/>
  <c r="D45" i="8"/>
  <c r="D63" i="8" s="1"/>
  <c r="D81" i="8" s="1"/>
  <c r="D99" i="8" s="1"/>
  <c r="D117" i="8" s="1"/>
  <c r="D135" i="8" s="1"/>
  <c r="D153" i="8" s="1"/>
  <c r="D171" i="8" s="1"/>
  <c r="D189" i="8" s="1"/>
  <c r="D207" i="8" s="1"/>
  <c r="D225" i="8" s="1"/>
  <c r="D243" i="8" s="1"/>
  <c r="D261" i="8" s="1"/>
  <c r="D279" i="8" s="1"/>
  <c r="D297" i="8" s="1"/>
  <c r="D315" i="8" s="1"/>
  <c r="D333" i="8" s="1"/>
  <c r="D351" i="8" s="1"/>
  <c r="D369" i="8" s="1"/>
  <c r="D387" i="8" s="1"/>
  <c r="D405" i="8" s="1"/>
  <c r="D423" i="8" s="1"/>
  <c r="D441" i="8" s="1"/>
  <c r="D459" i="8" s="1"/>
  <c r="D477" i="8" s="1"/>
  <c r="D495" i="8" s="1"/>
  <c r="D513" i="8" s="1"/>
  <c r="D531" i="8" s="1"/>
  <c r="D549" i="8" s="1"/>
  <c r="D567" i="8" s="1"/>
  <c r="D585" i="8" s="1"/>
  <c r="D603" i="8" s="1"/>
  <c r="D621" i="8" s="1"/>
  <c r="D639" i="8" s="1"/>
  <c r="D657" i="8" s="1"/>
  <c r="D675" i="8" s="1"/>
  <c r="D693" i="8" s="1"/>
  <c r="D711" i="8" s="1"/>
  <c r="D729" i="8" s="1"/>
  <c r="D747" i="8" s="1"/>
  <c r="D765" i="8" s="1"/>
  <c r="D783" i="8" s="1"/>
  <c r="D801" i="8" s="1"/>
  <c r="D819" i="8" s="1"/>
  <c r="D837" i="8" s="1"/>
  <c r="D855" i="8" s="1"/>
  <c r="D873" i="8" s="1"/>
  <c r="D891" i="8" s="1"/>
  <c r="D909" i="8" s="1"/>
  <c r="E44" i="8"/>
  <c r="E62" i="8" s="1"/>
  <c r="E80" i="8" s="1"/>
  <c r="E98" i="8" s="1"/>
  <c r="E116" i="8" s="1"/>
  <c r="E134" i="8" s="1"/>
  <c r="E152" i="8" s="1"/>
  <c r="E170" i="8" s="1"/>
  <c r="E188" i="8" s="1"/>
  <c r="E206" i="8" s="1"/>
  <c r="E224" i="8" s="1"/>
  <c r="E242" i="8" s="1"/>
  <c r="E260" i="8" s="1"/>
  <c r="E278" i="8" s="1"/>
  <c r="E296" i="8" s="1"/>
  <c r="E314" i="8" s="1"/>
  <c r="E332" i="8" s="1"/>
  <c r="E350" i="8" s="1"/>
  <c r="E368" i="8" s="1"/>
  <c r="E386" i="8" s="1"/>
  <c r="E404" i="8" s="1"/>
  <c r="E422" i="8" s="1"/>
  <c r="E440" i="8" s="1"/>
  <c r="E458" i="8" s="1"/>
  <c r="E476" i="8" s="1"/>
  <c r="E494" i="8" s="1"/>
  <c r="E512" i="8" s="1"/>
  <c r="E530" i="8" s="1"/>
  <c r="E548" i="8" s="1"/>
  <c r="E566" i="8" s="1"/>
  <c r="E584" i="8" s="1"/>
  <c r="E602" i="8" s="1"/>
  <c r="E620" i="8" s="1"/>
  <c r="E638" i="8" s="1"/>
  <c r="E656" i="8" s="1"/>
  <c r="E674" i="8" s="1"/>
  <c r="E692" i="8" s="1"/>
  <c r="E710" i="8" s="1"/>
  <c r="E728" i="8" s="1"/>
  <c r="E746" i="8" s="1"/>
  <c r="E764" i="8" s="1"/>
  <c r="E782" i="8" s="1"/>
  <c r="E800" i="8" s="1"/>
  <c r="E818" i="8" s="1"/>
  <c r="E836" i="8" s="1"/>
  <c r="E854" i="8" s="1"/>
  <c r="E872" i="8" s="1"/>
  <c r="E890" i="8" s="1"/>
  <c r="E908" i="8" s="1"/>
  <c r="D44" i="8"/>
  <c r="D62" i="8" s="1"/>
  <c r="D80" i="8" s="1"/>
  <c r="D98" i="8" s="1"/>
  <c r="D116" i="8" s="1"/>
  <c r="D134" i="8" s="1"/>
  <c r="D152" i="8" s="1"/>
  <c r="D170" i="8" s="1"/>
  <c r="D188" i="8" s="1"/>
  <c r="D206" i="8" s="1"/>
  <c r="D224" i="8" s="1"/>
  <c r="D242" i="8" s="1"/>
  <c r="D260" i="8" s="1"/>
  <c r="D278" i="8" s="1"/>
  <c r="D296" i="8" s="1"/>
  <c r="D314" i="8" s="1"/>
  <c r="D332" i="8" s="1"/>
  <c r="D350" i="8" s="1"/>
  <c r="D368" i="8" s="1"/>
  <c r="D386" i="8" s="1"/>
  <c r="D404" i="8" s="1"/>
  <c r="D422" i="8" s="1"/>
  <c r="D440" i="8" s="1"/>
  <c r="D458" i="8" s="1"/>
  <c r="D476" i="8" s="1"/>
  <c r="D494" i="8" s="1"/>
  <c r="D512" i="8" s="1"/>
  <c r="D530" i="8" s="1"/>
  <c r="D548" i="8" s="1"/>
  <c r="D566" i="8" s="1"/>
  <c r="D584" i="8" s="1"/>
  <c r="D602" i="8" s="1"/>
  <c r="D620" i="8" s="1"/>
  <c r="D638" i="8" s="1"/>
  <c r="D656" i="8" s="1"/>
  <c r="D674" i="8" s="1"/>
  <c r="D692" i="8" s="1"/>
  <c r="D710" i="8" s="1"/>
  <c r="D728" i="8" s="1"/>
  <c r="D746" i="8" s="1"/>
  <c r="D764" i="8" s="1"/>
  <c r="D782" i="8" s="1"/>
  <c r="D800" i="8" s="1"/>
  <c r="D818" i="8" s="1"/>
  <c r="D836" i="8" s="1"/>
  <c r="D854" i="8" s="1"/>
  <c r="D872" i="8" s="1"/>
  <c r="D890" i="8" s="1"/>
  <c r="D908" i="8" s="1"/>
  <c r="E43" i="8"/>
  <c r="E61" i="8" s="1"/>
  <c r="E79" i="8" s="1"/>
  <c r="E97" i="8" s="1"/>
  <c r="E115" i="8" s="1"/>
  <c r="E133" i="8" s="1"/>
  <c r="E151" i="8" s="1"/>
  <c r="E169" i="8" s="1"/>
  <c r="E187" i="8" s="1"/>
  <c r="E205" i="8" s="1"/>
  <c r="E223" i="8" s="1"/>
  <c r="E241" i="8" s="1"/>
  <c r="E259" i="8" s="1"/>
  <c r="E277" i="8" s="1"/>
  <c r="E295" i="8" s="1"/>
  <c r="E313" i="8" s="1"/>
  <c r="E331" i="8" s="1"/>
  <c r="E349" i="8" s="1"/>
  <c r="E367" i="8" s="1"/>
  <c r="E385" i="8" s="1"/>
  <c r="E403" i="8" s="1"/>
  <c r="E421" i="8" s="1"/>
  <c r="E439" i="8" s="1"/>
  <c r="E457" i="8" s="1"/>
  <c r="E475" i="8" s="1"/>
  <c r="E493" i="8" s="1"/>
  <c r="E511" i="8" s="1"/>
  <c r="E529" i="8" s="1"/>
  <c r="E547" i="8" s="1"/>
  <c r="E565" i="8" s="1"/>
  <c r="E583" i="8" s="1"/>
  <c r="E601" i="8" s="1"/>
  <c r="E619" i="8" s="1"/>
  <c r="E637" i="8" s="1"/>
  <c r="E655" i="8" s="1"/>
  <c r="E673" i="8" s="1"/>
  <c r="E691" i="8" s="1"/>
  <c r="E709" i="8" s="1"/>
  <c r="E727" i="8" s="1"/>
  <c r="E745" i="8" s="1"/>
  <c r="E763" i="8" s="1"/>
  <c r="E781" i="8" s="1"/>
  <c r="E799" i="8" s="1"/>
  <c r="E817" i="8" s="1"/>
  <c r="E835" i="8" s="1"/>
  <c r="E853" i="8" s="1"/>
  <c r="E871" i="8" s="1"/>
  <c r="E889" i="8" s="1"/>
  <c r="E907" i="8" s="1"/>
  <c r="D43" i="8"/>
  <c r="D61" i="8" s="1"/>
  <c r="D79" i="8" s="1"/>
  <c r="D97" i="8" s="1"/>
  <c r="D115" i="8" s="1"/>
  <c r="D133" i="8" s="1"/>
  <c r="D151" i="8" s="1"/>
  <c r="D169" i="8" s="1"/>
  <c r="D187" i="8" s="1"/>
  <c r="D205" i="8" s="1"/>
  <c r="D223" i="8" s="1"/>
  <c r="D241" i="8" s="1"/>
  <c r="D259" i="8" s="1"/>
  <c r="D277" i="8" s="1"/>
  <c r="D295" i="8" s="1"/>
  <c r="D313" i="8" s="1"/>
  <c r="D331" i="8" s="1"/>
  <c r="D349" i="8" s="1"/>
  <c r="D367" i="8" s="1"/>
  <c r="D385" i="8" s="1"/>
  <c r="D403" i="8" s="1"/>
  <c r="D421" i="8" s="1"/>
  <c r="D439" i="8" s="1"/>
  <c r="D457" i="8" s="1"/>
  <c r="D475" i="8" s="1"/>
  <c r="D493" i="8" s="1"/>
  <c r="D511" i="8" s="1"/>
  <c r="D529" i="8" s="1"/>
  <c r="D547" i="8" s="1"/>
  <c r="D565" i="8" s="1"/>
  <c r="D583" i="8" s="1"/>
  <c r="D601" i="8" s="1"/>
  <c r="D619" i="8" s="1"/>
  <c r="D637" i="8" s="1"/>
  <c r="D655" i="8" s="1"/>
  <c r="D673" i="8" s="1"/>
  <c r="D691" i="8" s="1"/>
  <c r="D709" i="8" s="1"/>
  <c r="D727" i="8" s="1"/>
  <c r="D745" i="8" s="1"/>
  <c r="D763" i="8" s="1"/>
  <c r="D781" i="8" s="1"/>
  <c r="D799" i="8" s="1"/>
  <c r="D817" i="8" s="1"/>
  <c r="D835" i="8" s="1"/>
  <c r="D853" i="8" s="1"/>
  <c r="D871" i="8" s="1"/>
  <c r="D889" i="8" s="1"/>
  <c r="D907" i="8" s="1"/>
  <c r="E42" i="8"/>
  <c r="E60" i="8" s="1"/>
  <c r="E78" i="8" s="1"/>
  <c r="E96" i="8" s="1"/>
  <c r="E114" i="8" s="1"/>
  <c r="E132" i="8" s="1"/>
  <c r="E150" i="8" s="1"/>
  <c r="E168" i="8" s="1"/>
  <c r="E186" i="8" s="1"/>
  <c r="E204" i="8" s="1"/>
  <c r="E222" i="8" s="1"/>
  <c r="E240" i="8" s="1"/>
  <c r="E258" i="8" s="1"/>
  <c r="E276" i="8" s="1"/>
  <c r="E294" i="8" s="1"/>
  <c r="E312" i="8" s="1"/>
  <c r="E330" i="8" s="1"/>
  <c r="E348" i="8" s="1"/>
  <c r="E366" i="8" s="1"/>
  <c r="E384" i="8" s="1"/>
  <c r="E402" i="8" s="1"/>
  <c r="E420" i="8" s="1"/>
  <c r="E438" i="8" s="1"/>
  <c r="E456" i="8" s="1"/>
  <c r="E474" i="8" s="1"/>
  <c r="E492" i="8" s="1"/>
  <c r="E510" i="8" s="1"/>
  <c r="E528" i="8" s="1"/>
  <c r="E546" i="8" s="1"/>
  <c r="E564" i="8" s="1"/>
  <c r="E582" i="8" s="1"/>
  <c r="E600" i="8" s="1"/>
  <c r="E618" i="8" s="1"/>
  <c r="E636" i="8" s="1"/>
  <c r="E654" i="8" s="1"/>
  <c r="E672" i="8" s="1"/>
  <c r="E690" i="8" s="1"/>
  <c r="E708" i="8" s="1"/>
  <c r="E726" i="8" s="1"/>
  <c r="E744" i="8" s="1"/>
  <c r="E762" i="8" s="1"/>
  <c r="E780" i="8" s="1"/>
  <c r="E798" i="8" s="1"/>
  <c r="E816" i="8" s="1"/>
  <c r="E834" i="8" s="1"/>
  <c r="E852" i="8" s="1"/>
  <c r="E870" i="8" s="1"/>
  <c r="E888" i="8" s="1"/>
  <c r="E906" i="8" s="1"/>
  <c r="D42" i="8"/>
  <c r="D60" i="8" s="1"/>
  <c r="D78" i="8" s="1"/>
  <c r="D96" i="8" s="1"/>
  <c r="D114" i="8" s="1"/>
  <c r="D132" i="8" s="1"/>
  <c r="D150" i="8" s="1"/>
  <c r="D168" i="8" s="1"/>
  <c r="D186" i="8" s="1"/>
  <c r="D204" i="8" s="1"/>
  <c r="D222" i="8" s="1"/>
  <c r="D240" i="8" s="1"/>
  <c r="D258" i="8" s="1"/>
  <c r="D276" i="8" s="1"/>
  <c r="D294" i="8" s="1"/>
  <c r="D312" i="8" s="1"/>
  <c r="D330" i="8" s="1"/>
  <c r="D348" i="8" s="1"/>
  <c r="D366" i="8" s="1"/>
  <c r="D384" i="8" s="1"/>
  <c r="D402" i="8" s="1"/>
  <c r="D420" i="8" s="1"/>
  <c r="D438" i="8" s="1"/>
  <c r="D456" i="8" s="1"/>
  <c r="D474" i="8" s="1"/>
  <c r="D492" i="8" s="1"/>
  <c r="D510" i="8" s="1"/>
  <c r="D528" i="8" s="1"/>
  <c r="D546" i="8" s="1"/>
  <c r="D564" i="8" s="1"/>
  <c r="D582" i="8" s="1"/>
  <c r="D600" i="8" s="1"/>
  <c r="D618" i="8" s="1"/>
  <c r="D636" i="8" s="1"/>
  <c r="D654" i="8" s="1"/>
  <c r="D672" i="8" s="1"/>
  <c r="D690" i="8" s="1"/>
  <c r="D708" i="8" s="1"/>
  <c r="D726" i="8" s="1"/>
  <c r="D744" i="8" s="1"/>
  <c r="D762" i="8" s="1"/>
  <c r="D780" i="8" s="1"/>
  <c r="D798" i="8" s="1"/>
  <c r="D816" i="8" s="1"/>
  <c r="D834" i="8" s="1"/>
  <c r="D852" i="8" s="1"/>
  <c r="D870" i="8" s="1"/>
  <c r="D888" i="8" s="1"/>
  <c r="D906" i="8" s="1"/>
  <c r="C58" i="8"/>
  <c r="C76" i="8" s="1"/>
  <c r="C94" i="8" s="1"/>
  <c r="C112" i="8" s="1"/>
  <c r="C130" i="8" s="1"/>
  <c r="C148" i="8" s="1"/>
  <c r="C166" i="8" s="1"/>
  <c r="C184" i="8" s="1"/>
  <c r="C202" i="8" s="1"/>
  <c r="C220" i="8" s="1"/>
  <c r="C238" i="8" s="1"/>
  <c r="C256" i="8" s="1"/>
  <c r="C274" i="8" s="1"/>
  <c r="C292" i="8" s="1"/>
  <c r="C310" i="8" s="1"/>
  <c r="C328" i="8" s="1"/>
  <c r="C346" i="8" s="1"/>
  <c r="C364" i="8" s="1"/>
  <c r="C382" i="8" s="1"/>
  <c r="C400" i="8" s="1"/>
  <c r="C418" i="8" s="1"/>
  <c r="C436" i="8" s="1"/>
  <c r="C454" i="8" s="1"/>
  <c r="C472" i="8" s="1"/>
  <c r="C490" i="8" s="1"/>
  <c r="C508" i="8" s="1"/>
  <c r="C526" i="8" s="1"/>
  <c r="C544" i="8" s="1"/>
  <c r="C562" i="8" s="1"/>
  <c r="C580" i="8" s="1"/>
  <c r="C598" i="8" s="1"/>
  <c r="C616" i="8" s="1"/>
  <c r="C634" i="8" s="1"/>
  <c r="C652" i="8" s="1"/>
  <c r="C670" i="8" s="1"/>
  <c r="C688" i="8" s="1"/>
  <c r="C706" i="8" s="1"/>
  <c r="C724" i="8" s="1"/>
  <c r="C742" i="8" s="1"/>
  <c r="C760" i="8" s="1"/>
  <c r="C778" i="8" s="1"/>
  <c r="C796" i="8" s="1"/>
  <c r="C814" i="8" s="1"/>
  <c r="C832" i="8" s="1"/>
  <c r="C850" i="8" s="1"/>
  <c r="C868" i="8" s="1"/>
  <c r="C886" i="8" s="1"/>
  <c r="C904" i="8" s="1"/>
  <c r="C922" i="8" s="1"/>
  <c r="C57" i="8"/>
  <c r="C75" i="8" s="1"/>
  <c r="C93" i="8" s="1"/>
  <c r="C111" i="8" s="1"/>
  <c r="C129" i="8" s="1"/>
  <c r="C147" i="8" s="1"/>
  <c r="C165" i="8" s="1"/>
  <c r="C183" i="8" s="1"/>
  <c r="C201" i="8" s="1"/>
  <c r="C219" i="8" s="1"/>
  <c r="C237" i="8" s="1"/>
  <c r="C255" i="8" s="1"/>
  <c r="C273" i="8" s="1"/>
  <c r="C291" i="8" s="1"/>
  <c r="C309" i="8" s="1"/>
  <c r="C327" i="8" s="1"/>
  <c r="C345" i="8" s="1"/>
  <c r="C363" i="8" s="1"/>
  <c r="C381" i="8" s="1"/>
  <c r="C399" i="8" s="1"/>
  <c r="C417" i="8" s="1"/>
  <c r="C435" i="8" s="1"/>
  <c r="C453" i="8" s="1"/>
  <c r="C471" i="8" s="1"/>
  <c r="C489" i="8" s="1"/>
  <c r="C507" i="8" s="1"/>
  <c r="C525" i="8" s="1"/>
  <c r="C543" i="8" s="1"/>
  <c r="C561" i="8" s="1"/>
  <c r="C579" i="8" s="1"/>
  <c r="C597" i="8" s="1"/>
  <c r="C615" i="8" s="1"/>
  <c r="C633" i="8" s="1"/>
  <c r="C651" i="8" s="1"/>
  <c r="C669" i="8" s="1"/>
  <c r="C687" i="8" s="1"/>
  <c r="C705" i="8" s="1"/>
  <c r="C723" i="8" s="1"/>
  <c r="C741" i="8" s="1"/>
  <c r="C759" i="8" s="1"/>
  <c r="C777" i="8" s="1"/>
  <c r="C795" i="8" s="1"/>
  <c r="C813" i="8" s="1"/>
  <c r="C831" i="8" s="1"/>
  <c r="C849" i="8" s="1"/>
  <c r="C867" i="8" s="1"/>
  <c r="C885" i="8" s="1"/>
  <c r="C903" i="8" s="1"/>
  <c r="C921" i="8" s="1"/>
  <c r="C56" i="8"/>
  <c r="C74" i="8" s="1"/>
  <c r="C92" i="8" s="1"/>
  <c r="C110" i="8" s="1"/>
  <c r="C128" i="8" s="1"/>
  <c r="C146" i="8" s="1"/>
  <c r="C164" i="8" s="1"/>
  <c r="C182" i="8" s="1"/>
  <c r="C200" i="8" s="1"/>
  <c r="C218" i="8" s="1"/>
  <c r="C236" i="8" s="1"/>
  <c r="C254" i="8" s="1"/>
  <c r="C272" i="8" s="1"/>
  <c r="C290" i="8" s="1"/>
  <c r="C308" i="8" s="1"/>
  <c r="C326" i="8" s="1"/>
  <c r="C344" i="8" s="1"/>
  <c r="C362" i="8" s="1"/>
  <c r="C380" i="8" s="1"/>
  <c r="C398" i="8" s="1"/>
  <c r="C416" i="8" s="1"/>
  <c r="C434" i="8" s="1"/>
  <c r="C452" i="8" s="1"/>
  <c r="C470" i="8" s="1"/>
  <c r="C488" i="8" s="1"/>
  <c r="C506" i="8" s="1"/>
  <c r="C524" i="8" s="1"/>
  <c r="C542" i="8" s="1"/>
  <c r="C560" i="8" s="1"/>
  <c r="C578" i="8" s="1"/>
  <c r="C596" i="8" s="1"/>
  <c r="C614" i="8" s="1"/>
  <c r="C632" i="8" s="1"/>
  <c r="C650" i="8" s="1"/>
  <c r="C668" i="8" s="1"/>
  <c r="C686" i="8" s="1"/>
  <c r="C704" i="8" s="1"/>
  <c r="C722" i="8" s="1"/>
  <c r="C740" i="8" s="1"/>
  <c r="C758" i="8" s="1"/>
  <c r="C776" i="8" s="1"/>
  <c r="C794" i="8" s="1"/>
  <c r="C812" i="8" s="1"/>
  <c r="C830" i="8" s="1"/>
  <c r="C848" i="8" s="1"/>
  <c r="C866" i="8" s="1"/>
  <c r="C884" i="8" s="1"/>
  <c r="C902" i="8" s="1"/>
  <c r="C920" i="8" s="1"/>
  <c r="C55" i="8"/>
  <c r="C73" i="8" s="1"/>
  <c r="C91" i="8" s="1"/>
  <c r="C109" i="8" s="1"/>
  <c r="C127" i="8" s="1"/>
  <c r="C145" i="8" s="1"/>
  <c r="C163" i="8" s="1"/>
  <c r="C181" i="8" s="1"/>
  <c r="C199" i="8" s="1"/>
  <c r="C217" i="8" s="1"/>
  <c r="C235" i="8" s="1"/>
  <c r="C253" i="8" s="1"/>
  <c r="C271" i="8" s="1"/>
  <c r="C289" i="8" s="1"/>
  <c r="C307" i="8" s="1"/>
  <c r="C325" i="8" s="1"/>
  <c r="C343" i="8" s="1"/>
  <c r="C361" i="8" s="1"/>
  <c r="C379" i="8" s="1"/>
  <c r="C397" i="8" s="1"/>
  <c r="C415" i="8" s="1"/>
  <c r="C433" i="8" s="1"/>
  <c r="C451" i="8" s="1"/>
  <c r="C469" i="8" s="1"/>
  <c r="C487" i="8" s="1"/>
  <c r="C505" i="8" s="1"/>
  <c r="C523" i="8" s="1"/>
  <c r="C541" i="8" s="1"/>
  <c r="C559" i="8" s="1"/>
  <c r="C577" i="8" s="1"/>
  <c r="C595" i="8" s="1"/>
  <c r="C613" i="8" s="1"/>
  <c r="C631" i="8" s="1"/>
  <c r="C649" i="8" s="1"/>
  <c r="C667" i="8" s="1"/>
  <c r="C685" i="8" s="1"/>
  <c r="C703" i="8" s="1"/>
  <c r="C721" i="8" s="1"/>
  <c r="C739" i="8" s="1"/>
  <c r="C757" i="8" s="1"/>
  <c r="C775" i="8" s="1"/>
  <c r="C793" i="8" s="1"/>
  <c r="C811" i="8" s="1"/>
  <c r="C829" i="8" s="1"/>
  <c r="C847" i="8" s="1"/>
  <c r="C865" i="8" s="1"/>
  <c r="C883" i="8" s="1"/>
  <c r="C901" i="8" s="1"/>
  <c r="C919" i="8" s="1"/>
  <c r="C54" i="8"/>
  <c r="C72" i="8" s="1"/>
  <c r="C90" i="8" s="1"/>
  <c r="C108" i="8" s="1"/>
  <c r="C126" i="8" s="1"/>
  <c r="C144" i="8" s="1"/>
  <c r="C162" i="8" s="1"/>
  <c r="C180" i="8" s="1"/>
  <c r="C198" i="8" s="1"/>
  <c r="C216" i="8" s="1"/>
  <c r="C234" i="8" s="1"/>
  <c r="C252" i="8" s="1"/>
  <c r="C270" i="8" s="1"/>
  <c r="C288" i="8" s="1"/>
  <c r="C306" i="8" s="1"/>
  <c r="C324" i="8" s="1"/>
  <c r="C342" i="8" s="1"/>
  <c r="C360" i="8" s="1"/>
  <c r="C378" i="8" s="1"/>
  <c r="C396" i="8" s="1"/>
  <c r="C414" i="8" s="1"/>
  <c r="C432" i="8" s="1"/>
  <c r="C450" i="8" s="1"/>
  <c r="C468" i="8" s="1"/>
  <c r="C486" i="8" s="1"/>
  <c r="C504" i="8" s="1"/>
  <c r="C522" i="8" s="1"/>
  <c r="C540" i="8" s="1"/>
  <c r="C558" i="8" s="1"/>
  <c r="C576" i="8" s="1"/>
  <c r="C594" i="8" s="1"/>
  <c r="C612" i="8" s="1"/>
  <c r="C630" i="8" s="1"/>
  <c r="C648" i="8" s="1"/>
  <c r="C666" i="8" s="1"/>
  <c r="C684" i="8" s="1"/>
  <c r="C702" i="8" s="1"/>
  <c r="C720" i="8" s="1"/>
  <c r="C738" i="8" s="1"/>
  <c r="C756" i="8" s="1"/>
  <c r="C774" i="8" s="1"/>
  <c r="C792" i="8" s="1"/>
  <c r="C810" i="8" s="1"/>
  <c r="C828" i="8" s="1"/>
  <c r="C846" i="8" s="1"/>
  <c r="C864" i="8" s="1"/>
  <c r="C882" i="8" s="1"/>
  <c r="C900" i="8" s="1"/>
  <c r="C918" i="8" s="1"/>
  <c r="C53" i="8"/>
  <c r="C71" i="8" s="1"/>
  <c r="C89" i="8" s="1"/>
  <c r="C107" i="8" s="1"/>
  <c r="C125" i="8" s="1"/>
  <c r="C143" i="8" s="1"/>
  <c r="C161" i="8" s="1"/>
  <c r="C179" i="8" s="1"/>
  <c r="C197" i="8" s="1"/>
  <c r="C215" i="8" s="1"/>
  <c r="C233" i="8" s="1"/>
  <c r="C251" i="8" s="1"/>
  <c r="C269" i="8" s="1"/>
  <c r="C287" i="8" s="1"/>
  <c r="C305" i="8" s="1"/>
  <c r="C323" i="8" s="1"/>
  <c r="C341" i="8" s="1"/>
  <c r="C359" i="8" s="1"/>
  <c r="C377" i="8" s="1"/>
  <c r="C395" i="8" s="1"/>
  <c r="C413" i="8" s="1"/>
  <c r="C431" i="8" s="1"/>
  <c r="C449" i="8" s="1"/>
  <c r="C467" i="8" s="1"/>
  <c r="C485" i="8" s="1"/>
  <c r="C503" i="8" s="1"/>
  <c r="C521" i="8" s="1"/>
  <c r="C539" i="8" s="1"/>
  <c r="C557" i="8" s="1"/>
  <c r="C575" i="8" s="1"/>
  <c r="C593" i="8" s="1"/>
  <c r="C611" i="8" s="1"/>
  <c r="C629" i="8" s="1"/>
  <c r="C647" i="8" s="1"/>
  <c r="C665" i="8" s="1"/>
  <c r="C683" i="8" s="1"/>
  <c r="C701" i="8" s="1"/>
  <c r="C719" i="8" s="1"/>
  <c r="C737" i="8" s="1"/>
  <c r="C755" i="8" s="1"/>
  <c r="C773" i="8" s="1"/>
  <c r="C791" i="8" s="1"/>
  <c r="C809" i="8" s="1"/>
  <c r="C827" i="8" s="1"/>
  <c r="C845" i="8" s="1"/>
  <c r="C863" i="8" s="1"/>
  <c r="C881" i="8" s="1"/>
  <c r="C899" i="8" s="1"/>
  <c r="C917" i="8" s="1"/>
  <c r="C52" i="8"/>
  <c r="C70" i="8" s="1"/>
  <c r="C88" i="8" s="1"/>
  <c r="C106" i="8" s="1"/>
  <c r="C124" i="8" s="1"/>
  <c r="C142" i="8" s="1"/>
  <c r="C160" i="8" s="1"/>
  <c r="C178" i="8" s="1"/>
  <c r="C196" i="8" s="1"/>
  <c r="C214" i="8" s="1"/>
  <c r="C232" i="8" s="1"/>
  <c r="C250" i="8" s="1"/>
  <c r="C268" i="8" s="1"/>
  <c r="C286" i="8" s="1"/>
  <c r="C304" i="8" s="1"/>
  <c r="C322" i="8" s="1"/>
  <c r="C340" i="8" s="1"/>
  <c r="C358" i="8" s="1"/>
  <c r="C376" i="8" s="1"/>
  <c r="C394" i="8" s="1"/>
  <c r="C412" i="8" s="1"/>
  <c r="C430" i="8" s="1"/>
  <c r="C448" i="8" s="1"/>
  <c r="C466" i="8" s="1"/>
  <c r="C484" i="8" s="1"/>
  <c r="C502" i="8" s="1"/>
  <c r="C520" i="8" s="1"/>
  <c r="C538" i="8" s="1"/>
  <c r="C556" i="8" s="1"/>
  <c r="C574" i="8" s="1"/>
  <c r="C592" i="8" s="1"/>
  <c r="C610" i="8" s="1"/>
  <c r="C628" i="8" s="1"/>
  <c r="C646" i="8" s="1"/>
  <c r="C664" i="8" s="1"/>
  <c r="C682" i="8" s="1"/>
  <c r="C700" i="8" s="1"/>
  <c r="C718" i="8" s="1"/>
  <c r="C736" i="8" s="1"/>
  <c r="C754" i="8" s="1"/>
  <c r="C772" i="8" s="1"/>
  <c r="C790" i="8" s="1"/>
  <c r="C808" i="8" s="1"/>
  <c r="C826" i="8" s="1"/>
  <c r="C844" i="8" s="1"/>
  <c r="C862" i="8" s="1"/>
  <c r="C880" i="8" s="1"/>
  <c r="C898" i="8" s="1"/>
  <c r="C916" i="8" s="1"/>
  <c r="C51" i="8"/>
  <c r="C69" i="8" s="1"/>
  <c r="C87" i="8" s="1"/>
  <c r="C105" i="8" s="1"/>
  <c r="C123" i="8" s="1"/>
  <c r="C141" i="8" s="1"/>
  <c r="C159" i="8" s="1"/>
  <c r="C177" i="8" s="1"/>
  <c r="C195" i="8" s="1"/>
  <c r="C213" i="8" s="1"/>
  <c r="C231" i="8" s="1"/>
  <c r="C249" i="8" s="1"/>
  <c r="C267" i="8" s="1"/>
  <c r="C285" i="8" s="1"/>
  <c r="C303" i="8" s="1"/>
  <c r="C321" i="8" s="1"/>
  <c r="C339" i="8" s="1"/>
  <c r="C357" i="8" s="1"/>
  <c r="C375" i="8" s="1"/>
  <c r="C393" i="8" s="1"/>
  <c r="C411" i="8" s="1"/>
  <c r="C429" i="8" s="1"/>
  <c r="C447" i="8" s="1"/>
  <c r="C465" i="8" s="1"/>
  <c r="C483" i="8" s="1"/>
  <c r="C501" i="8" s="1"/>
  <c r="C519" i="8" s="1"/>
  <c r="C537" i="8" s="1"/>
  <c r="C555" i="8" s="1"/>
  <c r="C573" i="8" s="1"/>
  <c r="C591" i="8" s="1"/>
  <c r="C609" i="8" s="1"/>
  <c r="C627" i="8" s="1"/>
  <c r="C645" i="8" s="1"/>
  <c r="C663" i="8" s="1"/>
  <c r="C681" i="8" s="1"/>
  <c r="C699" i="8" s="1"/>
  <c r="C717" i="8" s="1"/>
  <c r="C735" i="8" s="1"/>
  <c r="C753" i="8" s="1"/>
  <c r="C771" i="8" s="1"/>
  <c r="C789" i="8" s="1"/>
  <c r="C807" i="8" s="1"/>
  <c r="C825" i="8" s="1"/>
  <c r="C843" i="8" s="1"/>
  <c r="C861" i="8" s="1"/>
  <c r="C879" i="8" s="1"/>
  <c r="C897" i="8" s="1"/>
  <c r="C915" i="8" s="1"/>
  <c r="C50" i="8"/>
  <c r="C68" i="8" s="1"/>
  <c r="C86" i="8" s="1"/>
  <c r="C104" i="8" s="1"/>
  <c r="C122" i="8" s="1"/>
  <c r="C140" i="8" s="1"/>
  <c r="C158" i="8" s="1"/>
  <c r="C176" i="8" s="1"/>
  <c r="C194" i="8" s="1"/>
  <c r="C212" i="8" s="1"/>
  <c r="C230" i="8" s="1"/>
  <c r="C248" i="8" s="1"/>
  <c r="C266" i="8" s="1"/>
  <c r="C284" i="8" s="1"/>
  <c r="C302" i="8" s="1"/>
  <c r="C320" i="8" s="1"/>
  <c r="C338" i="8" s="1"/>
  <c r="C356" i="8" s="1"/>
  <c r="C374" i="8" s="1"/>
  <c r="C392" i="8" s="1"/>
  <c r="C410" i="8" s="1"/>
  <c r="C428" i="8" s="1"/>
  <c r="C446" i="8" s="1"/>
  <c r="C464" i="8" s="1"/>
  <c r="C482" i="8" s="1"/>
  <c r="C500" i="8" s="1"/>
  <c r="C518" i="8" s="1"/>
  <c r="C536" i="8" s="1"/>
  <c r="C554" i="8" s="1"/>
  <c r="C572" i="8" s="1"/>
  <c r="C590" i="8" s="1"/>
  <c r="C608" i="8" s="1"/>
  <c r="C626" i="8" s="1"/>
  <c r="C644" i="8" s="1"/>
  <c r="C662" i="8" s="1"/>
  <c r="C680" i="8" s="1"/>
  <c r="C698" i="8" s="1"/>
  <c r="C716" i="8" s="1"/>
  <c r="C734" i="8" s="1"/>
  <c r="C49" i="8"/>
  <c r="C67" i="8" s="1"/>
  <c r="C85" i="8" s="1"/>
  <c r="C103" i="8" s="1"/>
  <c r="C121" i="8" s="1"/>
  <c r="C139" i="8" s="1"/>
  <c r="C157" i="8" s="1"/>
  <c r="C175" i="8" s="1"/>
  <c r="C193" i="8" s="1"/>
  <c r="C211" i="8" s="1"/>
  <c r="C229" i="8" s="1"/>
  <c r="C247" i="8" s="1"/>
  <c r="C265" i="8" s="1"/>
  <c r="C283" i="8" s="1"/>
  <c r="C301" i="8" s="1"/>
  <c r="C319" i="8" s="1"/>
  <c r="C337" i="8" s="1"/>
  <c r="C355" i="8" s="1"/>
  <c r="C373" i="8" s="1"/>
  <c r="C391" i="8" s="1"/>
  <c r="C409" i="8" s="1"/>
  <c r="C427" i="8" s="1"/>
  <c r="C445" i="8" s="1"/>
  <c r="C463" i="8" s="1"/>
  <c r="C481" i="8" s="1"/>
  <c r="C499" i="8" s="1"/>
  <c r="C517" i="8" s="1"/>
  <c r="C535" i="8" s="1"/>
  <c r="C553" i="8" s="1"/>
  <c r="C571" i="8" s="1"/>
  <c r="C589" i="8" s="1"/>
  <c r="C607" i="8" s="1"/>
  <c r="C625" i="8" s="1"/>
  <c r="C643" i="8" s="1"/>
  <c r="C661" i="8" s="1"/>
  <c r="C679" i="8" s="1"/>
  <c r="C697" i="8" s="1"/>
  <c r="C715" i="8" s="1"/>
  <c r="C733" i="8" s="1"/>
  <c r="C751" i="8" s="1"/>
  <c r="C769" i="8" s="1"/>
  <c r="C787" i="8" s="1"/>
  <c r="C805" i="8" s="1"/>
  <c r="C823" i="8" s="1"/>
  <c r="C841" i="8" s="1"/>
  <c r="C859" i="8" s="1"/>
  <c r="C877" i="8" s="1"/>
  <c r="C895" i="8" s="1"/>
  <c r="C913" i="8" s="1"/>
  <c r="C48" i="8"/>
  <c r="C66" i="8" s="1"/>
  <c r="C84" i="8" s="1"/>
  <c r="C102" i="8" s="1"/>
  <c r="C120" i="8" s="1"/>
  <c r="C138" i="8" s="1"/>
  <c r="C156" i="8" s="1"/>
  <c r="C174" i="8" s="1"/>
  <c r="C192" i="8" s="1"/>
  <c r="C210" i="8" s="1"/>
  <c r="C228" i="8" s="1"/>
  <c r="C246" i="8" s="1"/>
  <c r="C264" i="8" s="1"/>
  <c r="C282" i="8" s="1"/>
  <c r="C300" i="8" s="1"/>
  <c r="C318" i="8" s="1"/>
  <c r="C336" i="8" s="1"/>
  <c r="C354" i="8" s="1"/>
  <c r="C372" i="8" s="1"/>
  <c r="C390" i="8" s="1"/>
  <c r="C408" i="8" s="1"/>
  <c r="C426" i="8" s="1"/>
  <c r="C444" i="8" s="1"/>
  <c r="C462" i="8" s="1"/>
  <c r="C480" i="8" s="1"/>
  <c r="C498" i="8" s="1"/>
  <c r="C516" i="8" s="1"/>
  <c r="C534" i="8" s="1"/>
  <c r="C552" i="8" s="1"/>
  <c r="C570" i="8" s="1"/>
  <c r="C588" i="8" s="1"/>
  <c r="C606" i="8" s="1"/>
  <c r="C624" i="8" s="1"/>
  <c r="C642" i="8" s="1"/>
  <c r="C660" i="8" s="1"/>
  <c r="C678" i="8" s="1"/>
  <c r="C696" i="8" s="1"/>
  <c r="C714" i="8" s="1"/>
  <c r="C732" i="8" s="1"/>
  <c r="C750" i="8" s="1"/>
  <c r="C768" i="8" s="1"/>
  <c r="C786" i="8" s="1"/>
  <c r="C804" i="8" s="1"/>
  <c r="C822" i="8" s="1"/>
  <c r="C840" i="8" s="1"/>
  <c r="C858" i="8" s="1"/>
  <c r="C876" i="8" s="1"/>
  <c r="C894" i="8" s="1"/>
  <c r="C912" i="8" s="1"/>
  <c r="C47" i="8"/>
  <c r="C65" i="8" s="1"/>
  <c r="C83" i="8" s="1"/>
  <c r="C101" i="8" s="1"/>
  <c r="C119" i="8" s="1"/>
  <c r="C137" i="8" s="1"/>
  <c r="C155" i="8" s="1"/>
  <c r="C173" i="8" s="1"/>
  <c r="C191" i="8" s="1"/>
  <c r="C209" i="8" s="1"/>
  <c r="C227" i="8" s="1"/>
  <c r="C245" i="8" s="1"/>
  <c r="C263" i="8" s="1"/>
  <c r="C281" i="8" s="1"/>
  <c r="C299" i="8" s="1"/>
  <c r="C317" i="8" s="1"/>
  <c r="C335" i="8" s="1"/>
  <c r="C353" i="8" s="1"/>
  <c r="C371" i="8" s="1"/>
  <c r="C389" i="8" s="1"/>
  <c r="C407" i="8" s="1"/>
  <c r="C425" i="8" s="1"/>
  <c r="C443" i="8" s="1"/>
  <c r="C461" i="8" s="1"/>
  <c r="C479" i="8" s="1"/>
  <c r="C497" i="8" s="1"/>
  <c r="C515" i="8" s="1"/>
  <c r="C533" i="8" s="1"/>
  <c r="C551" i="8" s="1"/>
  <c r="C569" i="8" s="1"/>
  <c r="C587" i="8" s="1"/>
  <c r="C605" i="8" s="1"/>
  <c r="C623" i="8" s="1"/>
  <c r="C641" i="8" s="1"/>
  <c r="C659" i="8" s="1"/>
  <c r="C677" i="8" s="1"/>
  <c r="C695" i="8" s="1"/>
  <c r="C713" i="8" s="1"/>
  <c r="C731" i="8" s="1"/>
  <c r="C749" i="8" s="1"/>
  <c r="C767" i="8" s="1"/>
  <c r="C785" i="8" s="1"/>
  <c r="C803" i="8" s="1"/>
  <c r="C821" i="8" s="1"/>
  <c r="C839" i="8" s="1"/>
  <c r="C857" i="8" s="1"/>
  <c r="C875" i="8" s="1"/>
  <c r="C893" i="8" s="1"/>
  <c r="C911" i="8" s="1"/>
  <c r="C46" i="8"/>
  <c r="C64" i="8" s="1"/>
  <c r="C82" i="8" s="1"/>
  <c r="C100" i="8" s="1"/>
  <c r="C118" i="8" s="1"/>
  <c r="C136" i="8" s="1"/>
  <c r="C154" i="8" s="1"/>
  <c r="C172" i="8" s="1"/>
  <c r="C190" i="8" s="1"/>
  <c r="C208" i="8" s="1"/>
  <c r="C226" i="8" s="1"/>
  <c r="C244" i="8" s="1"/>
  <c r="C262" i="8" s="1"/>
  <c r="C280" i="8" s="1"/>
  <c r="C298" i="8" s="1"/>
  <c r="C316" i="8" s="1"/>
  <c r="C334" i="8" s="1"/>
  <c r="C352" i="8" s="1"/>
  <c r="C370" i="8" s="1"/>
  <c r="C388" i="8" s="1"/>
  <c r="C406" i="8" s="1"/>
  <c r="C424" i="8" s="1"/>
  <c r="C442" i="8" s="1"/>
  <c r="C460" i="8" s="1"/>
  <c r="C478" i="8" s="1"/>
  <c r="C496" i="8" s="1"/>
  <c r="C514" i="8" s="1"/>
  <c r="C532" i="8" s="1"/>
  <c r="C550" i="8" s="1"/>
  <c r="C568" i="8" s="1"/>
  <c r="C586" i="8" s="1"/>
  <c r="C604" i="8" s="1"/>
  <c r="C622" i="8" s="1"/>
  <c r="C640" i="8" s="1"/>
  <c r="C658" i="8" s="1"/>
  <c r="C676" i="8" s="1"/>
  <c r="C694" i="8" s="1"/>
  <c r="C712" i="8" s="1"/>
  <c r="C730" i="8" s="1"/>
  <c r="C748" i="8" s="1"/>
  <c r="C766" i="8" s="1"/>
  <c r="C784" i="8" s="1"/>
  <c r="C802" i="8" s="1"/>
  <c r="C820" i="8" s="1"/>
  <c r="C838" i="8" s="1"/>
  <c r="C856" i="8" s="1"/>
  <c r="C874" i="8" s="1"/>
  <c r="C892" i="8" s="1"/>
  <c r="C910" i="8" s="1"/>
  <c r="C45" i="8"/>
  <c r="C63" i="8" s="1"/>
  <c r="C81" i="8" s="1"/>
  <c r="C99" i="8" s="1"/>
  <c r="C117" i="8" s="1"/>
  <c r="C135" i="8" s="1"/>
  <c r="C153" i="8" s="1"/>
  <c r="C171" i="8" s="1"/>
  <c r="C189" i="8" s="1"/>
  <c r="C207" i="8" s="1"/>
  <c r="C225" i="8" s="1"/>
  <c r="C243" i="8" s="1"/>
  <c r="C261" i="8" s="1"/>
  <c r="C279" i="8" s="1"/>
  <c r="C297" i="8" s="1"/>
  <c r="C315" i="8" s="1"/>
  <c r="C333" i="8" s="1"/>
  <c r="C351" i="8" s="1"/>
  <c r="C369" i="8" s="1"/>
  <c r="C387" i="8" s="1"/>
  <c r="C405" i="8" s="1"/>
  <c r="C423" i="8" s="1"/>
  <c r="C441" i="8" s="1"/>
  <c r="C459" i="8" s="1"/>
  <c r="C477" i="8" s="1"/>
  <c r="C495" i="8" s="1"/>
  <c r="C513" i="8" s="1"/>
  <c r="C531" i="8" s="1"/>
  <c r="C549" i="8" s="1"/>
  <c r="C567" i="8" s="1"/>
  <c r="C585" i="8" s="1"/>
  <c r="C603" i="8" s="1"/>
  <c r="C621" i="8" s="1"/>
  <c r="C639" i="8" s="1"/>
  <c r="C657" i="8" s="1"/>
  <c r="C675" i="8" s="1"/>
  <c r="C693" i="8" s="1"/>
  <c r="C711" i="8" s="1"/>
  <c r="C729" i="8" s="1"/>
  <c r="C747" i="8" s="1"/>
  <c r="C765" i="8" s="1"/>
  <c r="C783" i="8" s="1"/>
  <c r="C801" i="8" s="1"/>
  <c r="C819" i="8" s="1"/>
  <c r="C837" i="8" s="1"/>
  <c r="C855" i="8" s="1"/>
  <c r="C873" i="8" s="1"/>
  <c r="C891" i="8" s="1"/>
  <c r="C909" i="8" s="1"/>
  <c r="C44" i="8"/>
  <c r="C62" i="8" s="1"/>
  <c r="C80" i="8" s="1"/>
  <c r="C98" i="8" s="1"/>
  <c r="C116" i="8" s="1"/>
  <c r="C134" i="8" s="1"/>
  <c r="C152" i="8" s="1"/>
  <c r="C170" i="8" s="1"/>
  <c r="C188" i="8" s="1"/>
  <c r="C206" i="8" s="1"/>
  <c r="C224" i="8" s="1"/>
  <c r="C242" i="8" s="1"/>
  <c r="C260" i="8" s="1"/>
  <c r="C278" i="8" s="1"/>
  <c r="C296" i="8" s="1"/>
  <c r="C314" i="8" s="1"/>
  <c r="C332" i="8" s="1"/>
  <c r="C350" i="8" s="1"/>
  <c r="C368" i="8" s="1"/>
  <c r="C386" i="8" s="1"/>
  <c r="C404" i="8" s="1"/>
  <c r="C422" i="8" s="1"/>
  <c r="C440" i="8" s="1"/>
  <c r="C458" i="8" s="1"/>
  <c r="C476" i="8" s="1"/>
  <c r="C494" i="8" s="1"/>
  <c r="C512" i="8" s="1"/>
  <c r="C530" i="8" s="1"/>
  <c r="C548" i="8" s="1"/>
  <c r="C566" i="8" s="1"/>
  <c r="C584" i="8" s="1"/>
  <c r="C602" i="8" s="1"/>
  <c r="C620" i="8" s="1"/>
  <c r="C638" i="8" s="1"/>
  <c r="C656" i="8" s="1"/>
  <c r="C674" i="8" s="1"/>
  <c r="C692" i="8" s="1"/>
  <c r="C710" i="8" s="1"/>
  <c r="C728" i="8" s="1"/>
  <c r="C746" i="8" s="1"/>
  <c r="C764" i="8" s="1"/>
  <c r="C782" i="8" s="1"/>
  <c r="C800" i="8" s="1"/>
  <c r="C818" i="8" s="1"/>
  <c r="C836" i="8" s="1"/>
  <c r="C854" i="8" s="1"/>
  <c r="C872" i="8" s="1"/>
  <c r="C890" i="8" s="1"/>
  <c r="C908" i="8" s="1"/>
  <c r="C43" i="8"/>
  <c r="C61" i="8" s="1"/>
  <c r="C79" i="8" s="1"/>
  <c r="C97" i="8" s="1"/>
  <c r="C115" i="8" s="1"/>
  <c r="C133" i="8" s="1"/>
  <c r="C151" i="8" s="1"/>
  <c r="C169" i="8" s="1"/>
  <c r="C187" i="8" s="1"/>
  <c r="C205" i="8" s="1"/>
  <c r="C223" i="8" s="1"/>
  <c r="C241" i="8" s="1"/>
  <c r="C259" i="8" s="1"/>
  <c r="C277" i="8" s="1"/>
  <c r="C295" i="8" s="1"/>
  <c r="C313" i="8" s="1"/>
  <c r="C331" i="8" s="1"/>
  <c r="C349" i="8" s="1"/>
  <c r="C367" i="8" s="1"/>
  <c r="C385" i="8" s="1"/>
  <c r="C403" i="8" s="1"/>
  <c r="C421" i="8" s="1"/>
  <c r="C439" i="8" s="1"/>
  <c r="C457" i="8" s="1"/>
  <c r="C475" i="8" s="1"/>
  <c r="C493" i="8" s="1"/>
  <c r="C511" i="8" s="1"/>
  <c r="C529" i="8" s="1"/>
  <c r="C547" i="8" s="1"/>
  <c r="C565" i="8" s="1"/>
  <c r="C583" i="8" s="1"/>
  <c r="C601" i="8" s="1"/>
  <c r="C619" i="8" s="1"/>
  <c r="C637" i="8" s="1"/>
  <c r="C655" i="8" s="1"/>
  <c r="C673" i="8" s="1"/>
  <c r="C691" i="8" s="1"/>
  <c r="C709" i="8" s="1"/>
  <c r="C727" i="8" s="1"/>
  <c r="C745" i="8" s="1"/>
  <c r="C763" i="8" s="1"/>
  <c r="C781" i="8" s="1"/>
  <c r="C799" i="8" s="1"/>
  <c r="C817" i="8" s="1"/>
  <c r="C835" i="8" s="1"/>
  <c r="C853" i="8" s="1"/>
  <c r="C871" i="8" s="1"/>
  <c r="C889" i="8" s="1"/>
  <c r="C907" i="8" s="1"/>
  <c r="C42" i="8"/>
  <c r="C60" i="8" s="1"/>
  <c r="C78" i="8" s="1"/>
  <c r="C96" i="8" s="1"/>
  <c r="C114" i="8" s="1"/>
  <c r="C132" i="8" s="1"/>
  <c r="C150" i="8" s="1"/>
  <c r="C168" i="8" s="1"/>
  <c r="C186" i="8" s="1"/>
  <c r="C204" i="8" s="1"/>
  <c r="C222" i="8" s="1"/>
  <c r="C240" i="8" s="1"/>
  <c r="C258" i="8" s="1"/>
  <c r="C276" i="8" s="1"/>
  <c r="C294" i="8" s="1"/>
  <c r="C312" i="8" s="1"/>
  <c r="C330" i="8" s="1"/>
  <c r="C348" i="8" s="1"/>
  <c r="C366" i="8" s="1"/>
  <c r="C384" i="8" s="1"/>
  <c r="C402" i="8" s="1"/>
  <c r="C420" i="8" s="1"/>
  <c r="C438" i="8" s="1"/>
  <c r="C456" i="8" s="1"/>
  <c r="C474" i="8" s="1"/>
  <c r="C492" i="8" s="1"/>
  <c r="C510" i="8" s="1"/>
  <c r="C528" i="8" s="1"/>
  <c r="C546" i="8" s="1"/>
  <c r="C564" i="8" s="1"/>
  <c r="C582" i="8" s="1"/>
  <c r="C600" i="8" s="1"/>
  <c r="C618" i="8" s="1"/>
  <c r="C636" i="8" s="1"/>
  <c r="C654" i="8" s="1"/>
  <c r="C672" i="8" s="1"/>
  <c r="C690" i="8" s="1"/>
  <c r="C708" i="8" s="1"/>
  <c r="C726" i="8" s="1"/>
  <c r="C744" i="8" s="1"/>
  <c r="C762" i="8" s="1"/>
  <c r="C780" i="8" s="1"/>
  <c r="C798" i="8" s="1"/>
  <c r="C816" i="8" s="1"/>
  <c r="C834" i="8" s="1"/>
  <c r="C852" i="8" s="1"/>
  <c r="C870" i="8" s="1"/>
  <c r="C888" i="8" s="1"/>
  <c r="C906" i="8" s="1"/>
  <c r="H922" i="8"/>
  <c r="H921" i="8"/>
  <c r="H920" i="8"/>
  <c r="H919" i="8"/>
  <c r="H918" i="8"/>
  <c r="H917" i="8"/>
  <c r="H916" i="8"/>
  <c r="H915" i="8"/>
  <c r="H914" i="8"/>
  <c r="H913" i="8"/>
  <c r="H912" i="8"/>
  <c r="H911" i="8"/>
  <c r="H910" i="8"/>
  <c r="H909" i="8"/>
  <c r="H908" i="8"/>
  <c r="H907" i="8"/>
  <c r="H906" i="8"/>
  <c r="H905" i="8"/>
  <c r="H904" i="8"/>
  <c r="H903" i="8"/>
  <c r="H902" i="8"/>
  <c r="H901" i="8"/>
  <c r="H900" i="8"/>
  <c r="H899" i="8"/>
  <c r="H898" i="8"/>
  <c r="H897" i="8"/>
  <c r="H896" i="8"/>
  <c r="H895" i="8"/>
  <c r="H894" i="8"/>
  <c r="H893" i="8"/>
  <c r="H892" i="8"/>
  <c r="H891" i="8"/>
  <c r="H890" i="8"/>
  <c r="H889" i="8"/>
  <c r="H888" i="8"/>
  <c r="H887" i="8"/>
  <c r="H886" i="8"/>
  <c r="H885" i="8"/>
  <c r="H884" i="8"/>
  <c r="H883" i="8"/>
  <c r="H882" i="8"/>
  <c r="H881" i="8"/>
  <c r="H880" i="8"/>
  <c r="H879" i="8"/>
  <c r="H878" i="8"/>
  <c r="H877" i="8"/>
  <c r="H876" i="8"/>
  <c r="H875" i="8"/>
  <c r="H874" i="8"/>
  <c r="H873" i="8"/>
  <c r="H872" i="8"/>
  <c r="H871" i="8"/>
  <c r="H870" i="8"/>
  <c r="H869" i="8"/>
  <c r="H868" i="8"/>
  <c r="H867" i="8"/>
  <c r="H866" i="8"/>
  <c r="H865" i="8"/>
  <c r="H864" i="8"/>
  <c r="H863" i="8"/>
  <c r="H862" i="8"/>
  <c r="H861" i="8"/>
  <c r="H860" i="8"/>
  <c r="H859" i="8"/>
  <c r="H858" i="8"/>
  <c r="H857" i="8"/>
  <c r="H856" i="8"/>
  <c r="H855" i="8"/>
  <c r="H854" i="8"/>
  <c r="H853" i="8"/>
  <c r="H852" i="8"/>
  <c r="H851" i="8"/>
  <c r="H850" i="8"/>
  <c r="H849" i="8"/>
  <c r="H848" i="8"/>
  <c r="H847" i="8"/>
  <c r="H846" i="8"/>
  <c r="H845" i="8"/>
  <c r="H844" i="8"/>
  <c r="H843" i="8"/>
  <c r="H842" i="8"/>
  <c r="H841" i="8"/>
  <c r="H840" i="8"/>
  <c r="H839" i="8"/>
  <c r="H838" i="8"/>
  <c r="H837" i="8"/>
  <c r="H836" i="8"/>
  <c r="H835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130" i="8"/>
  <c r="H129" i="8"/>
  <c r="H93" i="8"/>
  <c r="H76" i="8"/>
  <c r="H75" i="8"/>
  <c r="H58" i="8"/>
  <c r="H57" i="8"/>
  <c r="H40" i="8"/>
  <c r="H39" i="8"/>
  <c r="H20" i="8"/>
  <c r="H19" i="8"/>
  <c r="H18" i="8"/>
  <c r="C752" i="8" l="1"/>
  <c r="C770" i="8" s="1"/>
  <c r="C788" i="8" s="1"/>
  <c r="C806" i="8" s="1"/>
  <c r="C824" i="8" s="1"/>
  <c r="C842" i="8" s="1"/>
  <c r="C860" i="8" s="1"/>
  <c r="C878" i="8" s="1"/>
  <c r="C896" i="8" s="1"/>
  <c r="C914" i="8" s="1"/>
  <c r="D752" i="8"/>
  <c r="D770" i="8" s="1"/>
  <c r="D788" i="8" s="1"/>
  <c r="D806" i="8" s="1"/>
  <c r="D824" i="8" s="1"/>
  <c r="D842" i="8" s="1"/>
  <c r="D860" i="8" s="1"/>
  <c r="D878" i="8" s="1"/>
  <c r="D896" i="8" s="1"/>
  <c r="D914" i="8" s="1"/>
  <c r="E752" i="8"/>
  <c r="E770" i="8" s="1"/>
  <c r="E788" i="8" s="1"/>
  <c r="E806" i="8" s="1"/>
  <c r="E824" i="8" s="1"/>
  <c r="E842" i="8" s="1"/>
  <c r="E860" i="8" s="1"/>
  <c r="E878" i="8" s="1"/>
  <c r="E896" i="8" s="1"/>
  <c r="E914" i="8" s="1"/>
  <c r="C329" i="8"/>
  <c r="C347" i="8" s="1"/>
  <c r="C365" i="8" s="1"/>
  <c r="C383" i="8" s="1"/>
  <c r="C401" i="8" s="1"/>
  <c r="C419" i="8" s="1"/>
  <c r="C437" i="8" s="1"/>
  <c r="C455" i="8" s="1"/>
  <c r="C473" i="8" s="1"/>
  <c r="C491" i="8" s="1"/>
  <c r="C509" i="8" s="1"/>
  <c r="C527" i="8" s="1"/>
  <c r="C545" i="8" s="1"/>
  <c r="C563" i="8" s="1"/>
  <c r="C581" i="8" s="1"/>
  <c r="C599" i="8" s="1"/>
  <c r="C617" i="8" s="1"/>
  <c r="C635" i="8" s="1"/>
  <c r="C653" i="8" s="1"/>
  <c r="C671" i="8" s="1"/>
  <c r="C689" i="8" s="1"/>
  <c r="C707" i="8" s="1"/>
  <c r="C725" i="8" s="1"/>
  <c r="C743" i="8" s="1"/>
  <c r="C761" i="8" s="1"/>
  <c r="C779" i="8" s="1"/>
  <c r="C797" i="8" s="1"/>
  <c r="C815" i="8" s="1"/>
  <c r="C833" i="8" s="1"/>
  <c r="C851" i="8" s="1"/>
  <c r="C869" i="8" s="1"/>
  <c r="C887" i="8" s="1"/>
  <c r="C905" i="8" s="1"/>
  <c r="H13" i="8"/>
  <c r="H12" i="8"/>
  <c r="H75" i="11" l="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4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20" i="9" l="1"/>
  <c r="H9" i="10" l="1"/>
  <c r="H8" i="10" l="1"/>
  <c r="H7" i="10" l="1"/>
  <c r="H770" i="4" l="1"/>
  <c r="H769" i="4"/>
  <c r="H6" i="10" l="1"/>
  <c r="H5" i="10" l="1"/>
  <c r="H73" i="10" l="1"/>
  <c r="H72" i="10"/>
  <c r="H70" i="10"/>
  <c r="H71" i="10"/>
  <c r="H69" i="10" l="1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 l="1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10" i="10"/>
  <c r="H4" i="10" l="1"/>
  <c r="H30" i="10" l="1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259" i="4" l="1"/>
  <c r="H768" i="4" l="1"/>
  <c r="H124" i="4" l="1"/>
  <c r="H19" i="9" l="1"/>
  <c r="H765" i="4" l="1"/>
  <c r="H767" i="4"/>
  <c r="H251" i="4" l="1"/>
  <c r="H766" i="4" l="1"/>
  <c r="H720" i="4" l="1"/>
  <c r="H719" i="4"/>
  <c r="H718" i="4"/>
  <c r="H717" i="4"/>
  <c r="H724" i="4" l="1"/>
  <c r="H723" i="4"/>
  <c r="H722" i="4"/>
  <c r="H721" i="4"/>
  <c r="H10" i="9" l="1"/>
  <c r="H9" i="9"/>
  <c r="H114" i="4" l="1"/>
  <c r="H103" i="4"/>
  <c r="H92" i="4"/>
  <c r="H81" i="4"/>
  <c r="H59" i="4"/>
  <c r="H70" i="4"/>
  <c r="H48" i="4"/>
  <c r="H37" i="4"/>
  <c r="H26" i="4"/>
  <c r="H15" i="4"/>
  <c r="H18" i="9" l="1"/>
  <c r="H17" i="9"/>
  <c r="H753" i="4" l="1"/>
  <c r="H750" i="4"/>
  <c r="H752" i="4"/>
  <c r="H749" i="4"/>
  <c r="H751" i="4"/>
  <c r="H748" i="4"/>
  <c r="H764" i="4" l="1"/>
  <c r="H111" i="4" l="1"/>
  <c r="H100" i="4"/>
  <c r="H89" i="4"/>
  <c r="H78" i="4"/>
  <c r="H67" i="4"/>
  <c r="H56" i="4"/>
  <c r="H45" i="4"/>
  <c r="H34" i="4"/>
  <c r="H23" i="4"/>
  <c r="H12" i="4"/>
  <c r="H13" i="4"/>
  <c r="H4" i="8" l="1"/>
  <c r="H763" i="4" l="1"/>
  <c r="H762" i="4"/>
  <c r="H761" i="4" l="1"/>
  <c r="H117" i="4" l="1"/>
  <c r="H15" i="9" l="1"/>
  <c r="H136" i="4" l="1"/>
  <c r="H760" i="4" l="1"/>
  <c r="H759" i="4"/>
  <c r="H142" i="4" l="1"/>
  <c r="H755" i="4" l="1"/>
  <c r="H758" i="4" l="1"/>
  <c r="H757" i="4"/>
  <c r="H756" i="4"/>
  <c r="H700" i="4" l="1"/>
  <c r="H699" i="4"/>
  <c r="H698" i="4"/>
  <c r="H697" i="4"/>
  <c r="H657" i="4"/>
  <c r="H656" i="4"/>
  <c r="H655" i="4"/>
  <c r="H654" i="4"/>
  <c r="H614" i="4"/>
  <c r="H613" i="4"/>
  <c r="H612" i="4"/>
  <c r="H611" i="4"/>
  <c r="H571" i="4"/>
  <c r="H570" i="4"/>
  <c r="H569" i="4"/>
  <c r="H568" i="4"/>
  <c r="H528" i="4"/>
  <c r="H527" i="4"/>
  <c r="H526" i="4"/>
  <c r="H525" i="4"/>
  <c r="H485" i="4"/>
  <c r="H484" i="4"/>
  <c r="H483" i="4"/>
  <c r="H482" i="4"/>
  <c r="H442" i="4"/>
  <c r="H441" i="4"/>
  <c r="H440" i="4"/>
  <c r="H439" i="4"/>
  <c r="H399" i="4"/>
  <c r="H398" i="4"/>
  <c r="H397" i="4"/>
  <c r="H396" i="4"/>
  <c r="H356" i="4"/>
  <c r="H355" i="4"/>
  <c r="H354" i="4"/>
  <c r="H353" i="4"/>
  <c r="H313" i="4"/>
  <c r="H312" i="4"/>
  <c r="H311" i="4"/>
  <c r="H310" i="4"/>
  <c r="H175" i="4" l="1"/>
  <c r="H144" i="4" l="1"/>
  <c r="H143" i="4"/>
  <c r="H141" i="4"/>
  <c r="H120" i="4" l="1"/>
  <c r="H249" i="4" l="1"/>
  <c r="H754" i="4" l="1"/>
  <c r="H242" i="4" l="1"/>
  <c r="H241" i="4"/>
  <c r="H240" i="4"/>
  <c r="H237" i="4"/>
  <c r="H236" i="4"/>
  <c r="H235" i="4"/>
  <c r="H6" i="9" l="1"/>
  <c r="H5" i="9"/>
  <c r="H201" i="4" l="1"/>
  <c r="H193" i="4"/>
  <c r="H202" i="4"/>
  <c r="H194" i="4"/>
  <c r="H186" i="4"/>
  <c r="H147" i="4"/>
  <c r="H179" i="4"/>
  <c r="H161" i="4" l="1"/>
  <c r="H154" i="4"/>
  <c r="H157" i="4"/>
  <c r="H746" i="4" l="1"/>
  <c r="H747" i="4"/>
  <c r="H208" i="4" l="1"/>
  <c r="H207" i="4"/>
  <c r="H206" i="4"/>
  <c r="H205" i="4"/>
  <c r="H203" i="4"/>
  <c r="H742" i="4" l="1"/>
  <c r="H153" i="4" l="1"/>
  <c r="H152" i="4"/>
  <c r="H151" i="4"/>
  <c r="H150" i="4"/>
  <c r="H149" i="4"/>
  <c r="H146" i="4"/>
  <c r="H200" i="4" l="1"/>
  <c r="H199" i="4"/>
  <c r="H198" i="4"/>
  <c r="H197" i="4"/>
  <c r="H195" i="4"/>
  <c r="H745" i="4" l="1"/>
  <c r="H744" i="4"/>
  <c r="H743" i="4" l="1"/>
  <c r="H190" i="4" l="1"/>
  <c r="H187" i="4"/>
  <c r="H741" i="4" l="1"/>
  <c r="H740" i="4"/>
  <c r="H716" i="4" l="1"/>
  <c r="H715" i="4"/>
  <c r="H714" i="4"/>
  <c r="H713" i="4"/>
  <c r="H16" i="9" l="1"/>
  <c r="H14" i="9" l="1"/>
  <c r="H12" i="9" l="1"/>
  <c r="H13" i="9"/>
  <c r="H11" i="9"/>
  <c r="H8" i="9" l="1"/>
  <c r="H7" i="9"/>
  <c r="H4" i="9" l="1"/>
  <c r="H246" i="4" l="1"/>
  <c r="H231" i="4" l="1"/>
  <c r="H250" i="4" l="1"/>
  <c r="H267" i="4"/>
  <c r="H266" i="4"/>
  <c r="H265" i="4"/>
  <c r="H264" i="4"/>
  <c r="H255" i="4" l="1"/>
  <c r="H256" i="4"/>
  <c r="H254" i="4"/>
  <c r="H253" i="4" l="1"/>
  <c r="H252" i="4"/>
  <c r="H739" i="4"/>
  <c r="H248" i="4" l="1"/>
  <c r="H234" i="4"/>
  <c r="H245" i="4"/>
  <c r="H261" i="4"/>
  <c r="H233" i="4"/>
  <c r="H232" i="4"/>
  <c r="H230" i="4"/>
  <c r="H123" i="4" l="1"/>
  <c r="H122" i="4" l="1"/>
  <c r="H121" i="4"/>
  <c r="H738" i="4" l="1"/>
  <c r="H737" i="4"/>
  <c r="H708" i="4"/>
  <c r="H728" i="4" l="1"/>
  <c r="H727" i="4" l="1"/>
  <c r="H707" i="4"/>
  <c r="H726" i="4"/>
  <c r="H725" i="4"/>
  <c r="H706" i="4"/>
  <c r="H705" i="4"/>
  <c r="H712" i="4" l="1"/>
  <c r="H711" i="4"/>
  <c r="H135" i="4" l="1"/>
  <c r="H736" i="4" l="1"/>
  <c r="H10" i="8" l="1"/>
  <c r="H14" i="8" l="1"/>
  <c r="H6" i="8"/>
  <c r="H11" i="8"/>
  <c r="H9" i="8"/>
  <c r="H8" i="8"/>
  <c r="H7" i="8"/>
  <c r="H5" i="8"/>
  <c r="H134" i="4" l="1"/>
  <c r="H133" i="4" l="1"/>
  <c r="H132" i="4" l="1"/>
  <c r="H131" i="4"/>
  <c r="H130" i="4"/>
  <c r="H129" i="4"/>
  <c r="H128" i="4"/>
  <c r="C23" i="8" l="1"/>
  <c r="C41" i="8" s="1"/>
  <c r="C59" i="8" s="1"/>
  <c r="C77" i="8" s="1"/>
  <c r="C95" i="8" s="1"/>
  <c r="C113" i="8" s="1"/>
  <c r="C131" i="8" s="1"/>
  <c r="C149" i="8" s="1"/>
  <c r="C167" i="8" s="1"/>
  <c r="C185" i="8" s="1"/>
  <c r="C203" i="8" s="1"/>
  <c r="C221" i="8" s="1"/>
  <c r="C239" i="8" s="1"/>
  <c r="C257" i="8" s="1"/>
  <c r="C275" i="8" s="1"/>
  <c r="C293" i="8" s="1"/>
  <c r="H834" i="8"/>
  <c r="H833" i="8"/>
  <c r="H832" i="8"/>
  <c r="H831" i="8"/>
  <c r="H830" i="8"/>
  <c r="H829" i="8"/>
  <c r="H828" i="8"/>
  <c r="H827" i="8"/>
  <c r="H826" i="8"/>
  <c r="H825" i="8"/>
  <c r="H824" i="8"/>
  <c r="H823" i="8"/>
  <c r="H822" i="8"/>
  <c r="H821" i="8"/>
  <c r="H820" i="8"/>
  <c r="H819" i="8"/>
  <c r="H818" i="8"/>
  <c r="H817" i="8"/>
  <c r="H816" i="8"/>
  <c r="H815" i="8"/>
  <c r="H814" i="8"/>
  <c r="H813" i="8"/>
  <c r="H812" i="8"/>
  <c r="H811" i="8"/>
  <c r="H810" i="8"/>
  <c r="H809" i="8"/>
  <c r="H808" i="8"/>
  <c r="H807" i="8"/>
  <c r="H806" i="8"/>
  <c r="H805" i="8"/>
  <c r="H804" i="8"/>
  <c r="H803" i="8"/>
  <c r="H802" i="8"/>
  <c r="H801" i="8"/>
  <c r="H800" i="8"/>
  <c r="H799" i="8"/>
  <c r="H798" i="8"/>
  <c r="H797" i="8"/>
  <c r="H796" i="8"/>
  <c r="H795" i="8"/>
  <c r="H794" i="8"/>
  <c r="H793" i="8"/>
  <c r="H792" i="8"/>
  <c r="H791" i="8"/>
  <c r="H790" i="8"/>
  <c r="H789" i="8"/>
  <c r="H788" i="8"/>
  <c r="H787" i="8"/>
  <c r="H786" i="8"/>
  <c r="H785" i="8"/>
  <c r="H784" i="8"/>
  <c r="H783" i="8"/>
  <c r="H782" i="8"/>
  <c r="H781" i="8"/>
  <c r="H780" i="8"/>
  <c r="H779" i="8"/>
  <c r="H778" i="8"/>
  <c r="H777" i="8"/>
  <c r="H776" i="8"/>
  <c r="H775" i="8"/>
  <c r="H774" i="8"/>
  <c r="H773" i="8"/>
  <c r="H772" i="8"/>
  <c r="H771" i="8"/>
  <c r="H770" i="8"/>
  <c r="H769" i="8"/>
  <c r="H768" i="8"/>
  <c r="H767" i="8"/>
  <c r="H766" i="8"/>
  <c r="H765" i="8"/>
  <c r="H764" i="8"/>
  <c r="H763" i="8"/>
  <c r="H762" i="8"/>
  <c r="H761" i="8"/>
  <c r="H760" i="8"/>
  <c r="H759" i="8"/>
  <c r="H758" i="8"/>
  <c r="H757" i="8"/>
  <c r="H756" i="8"/>
  <c r="H755" i="8"/>
  <c r="H754" i="8"/>
  <c r="H753" i="8"/>
  <c r="H751" i="8"/>
  <c r="H750" i="8"/>
  <c r="H749" i="8"/>
  <c r="H748" i="8"/>
  <c r="H747" i="8"/>
  <c r="H746" i="8"/>
  <c r="H745" i="8"/>
  <c r="H744" i="8"/>
  <c r="H743" i="8"/>
  <c r="H742" i="8"/>
  <c r="H741" i="8"/>
  <c r="H740" i="8"/>
  <c r="H739" i="8"/>
  <c r="H738" i="8"/>
  <c r="H737" i="8"/>
  <c r="H736" i="8"/>
  <c r="H735" i="8"/>
  <c r="H734" i="8"/>
  <c r="H733" i="8"/>
  <c r="H732" i="8"/>
  <c r="H731" i="8"/>
  <c r="H730" i="8"/>
  <c r="H729" i="8"/>
  <c r="H728" i="8"/>
  <c r="H727" i="8"/>
  <c r="H726" i="8"/>
  <c r="H725" i="8"/>
  <c r="H724" i="8"/>
  <c r="H723" i="8"/>
  <c r="H722" i="8"/>
  <c r="H721" i="8"/>
  <c r="H720" i="8"/>
  <c r="H719" i="8"/>
  <c r="H718" i="8"/>
  <c r="H717" i="8"/>
  <c r="H716" i="8"/>
  <c r="H715" i="8"/>
  <c r="H714" i="8"/>
  <c r="H713" i="8"/>
  <c r="H712" i="8"/>
  <c r="H711" i="8"/>
  <c r="H710" i="8"/>
  <c r="H709" i="8"/>
  <c r="H708" i="8"/>
  <c r="H707" i="8"/>
  <c r="H706" i="8"/>
  <c r="H705" i="8"/>
  <c r="H704" i="8"/>
  <c r="H703" i="8"/>
  <c r="H702" i="8"/>
  <c r="H701" i="8"/>
  <c r="H700" i="8"/>
  <c r="H699" i="8"/>
  <c r="H698" i="8"/>
  <c r="H697" i="8"/>
  <c r="H696" i="8"/>
  <c r="H695" i="8"/>
  <c r="H694" i="8"/>
  <c r="H693" i="8"/>
  <c r="H692" i="8"/>
  <c r="H691" i="8"/>
  <c r="H690" i="8"/>
  <c r="H689" i="8"/>
  <c r="H688" i="8"/>
  <c r="H687" i="8"/>
  <c r="H686" i="8"/>
  <c r="H685" i="8"/>
  <c r="H684" i="8"/>
  <c r="H683" i="8"/>
  <c r="H682" i="8"/>
  <c r="H681" i="8"/>
  <c r="H680" i="8"/>
  <c r="H679" i="8"/>
  <c r="H678" i="8"/>
  <c r="H677" i="8"/>
  <c r="H676" i="8"/>
  <c r="H675" i="8"/>
  <c r="H674" i="8"/>
  <c r="H673" i="8"/>
  <c r="H672" i="8"/>
  <c r="H671" i="8"/>
  <c r="H670" i="8"/>
  <c r="H669" i="8"/>
  <c r="H668" i="8"/>
  <c r="H667" i="8"/>
  <c r="H666" i="8"/>
  <c r="H665" i="8"/>
  <c r="H664" i="8"/>
  <c r="H663" i="8"/>
  <c r="H662" i="8"/>
  <c r="H661" i="8"/>
  <c r="H660" i="8"/>
  <c r="H659" i="8"/>
  <c r="H658" i="8"/>
  <c r="H657" i="8"/>
  <c r="H656" i="8"/>
  <c r="H655" i="8"/>
  <c r="H654" i="8"/>
  <c r="H653" i="8"/>
  <c r="H652" i="8"/>
  <c r="H651" i="8"/>
  <c r="H650" i="8"/>
  <c r="H649" i="8"/>
  <c r="H648" i="8"/>
  <c r="H647" i="8"/>
  <c r="H646" i="8"/>
  <c r="H645" i="8"/>
  <c r="H644" i="8"/>
  <c r="H643" i="8"/>
  <c r="H642" i="8"/>
  <c r="H641" i="8"/>
  <c r="H640" i="8"/>
  <c r="H639" i="8"/>
  <c r="H638" i="8"/>
  <c r="H637" i="8"/>
  <c r="H636" i="8"/>
  <c r="H635" i="8"/>
  <c r="H634" i="8"/>
  <c r="H633" i="8"/>
  <c r="H632" i="8"/>
  <c r="H631" i="8"/>
  <c r="H630" i="8"/>
  <c r="H629" i="8"/>
  <c r="H628" i="8"/>
  <c r="H627" i="8"/>
  <c r="H626" i="8"/>
  <c r="H625" i="8"/>
  <c r="H624" i="8"/>
  <c r="H623" i="8"/>
  <c r="H622" i="8"/>
  <c r="H621" i="8"/>
  <c r="H620" i="8"/>
  <c r="H619" i="8"/>
  <c r="H618" i="8"/>
  <c r="H617" i="8"/>
  <c r="H616" i="8"/>
  <c r="H615" i="8"/>
  <c r="H614" i="8"/>
  <c r="H613" i="8"/>
  <c r="H612" i="8"/>
  <c r="H611" i="8"/>
  <c r="H610" i="8"/>
  <c r="H609" i="8"/>
  <c r="H608" i="8"/>
  <c r="H607" i="8"/>
  <c r="H606" i="8"/>
  <c r="H605" i="8"/>
  <c r="H604" i="8"/>
  <c r="H603" i="8"/>
  <c r="H602" i="8"/>
  <c r="H601" i="8"/>
  <c r="H600" i="8"/>
  <c r="H599" i="8"/>
  <c r="H598" i="8"/>
  <c r="H597" i="8"/>
  <c r="H596" i="8"/>
  <c r="H595" i="8"/>
  <c r="H594" i="8"/>
  <c r="H593" i="8"/>
  <c r="H592" i="8"/>
  <c r="H591" i="8"/>
  <c r="H590" i="8"/>
  <c r="H589" i="8"/>
  <c r="H588" i="8"/>
  <c r="H587" i="8"/>
  <c r="H586" i="8"/>
  <c r="H585" i="8"/>
  <c r="H584" i="8"/>
  <c r="H583" i="8"/>
  <c r="H582" i="8"/>
  <c r="H581" i="8"/>
  <c r="H580" i="8"/>
  <c r="H579" i="8"/>
  <c r="H578" i="8"/>
  <c r="H577" i="8"/>
  <c r="H576" i="8"/>
  <c r="H575" i="8"/>
  <c r="H574" i="8"/>
  <c r="H573" i="8"/>
  <c r="H572" i="8"/>
  <c r="H571" i="8"/>
  <c r="H570" i="8"/>
  <c r="H569" i="8"/>
  <c r="H568" i="8"/>
  <c r="H567" i="8"/>
  <c r="H566" i="8"/>
  <c r="H565" i="8"/>
  <c r="H564" i="8"/>
  <c r="H563" i="8"/>
  <c r="H562" i="8"/>
  <c r="H561" i="8"/>
  <c r="H560" i="8"/>
  <c r="H559" i="8"/>
  <c r="H558" i="8"/>
  <c r="H557" i="8"/>
  <c r="H556" i="8"/>
  <c r="H555" i="8"/>
  <c r="H554" i="8"/>
  <c r="H553" i="8"/>
  <c r="H552" i="8"/>
  <c r="H551" i="8"/>
  <c r="H550" i="8"/>
  <c r="H549" i="8"/>
  <c r="H548" i="8"/>
  <c r="H547" i="8"/>
  <c r="H546" i="8"/>
  <c r="H545" i="8"/>
  <c r="H544" i="8"/>
  <c r="H543" i="8"/>
  <c r="H542" i="8"/>
  <c r="H541" i="8"/>
  <c r="H540" i="8"/>
  <c r="H539" i="8"/>
  <c r="H538" i="8"/>
  <c r="H537" i="8"/>
  <c r="H536" i="8"/>
  <c r="H535" i="8"/>
  <c r="H534" i="8"/>
  <c r="H533" i="8"/>
  <c r="H532" i="8"/>
  <c r="H531" i="8"/>
  <c r="H530" i="8"/>
  <c r="H529" i="8"/>
  <c r="H528" i="8"/>
  <c r="H527" i="8"/>
  <c r="H526" i="8"/>
  <c r="H525" i="8"/>
  <c r="H524" i="8"/>
  <c r="H523" i="8"/>
  <c r="H522" i="8"/>
  <c r="H521" i="8"/>
  <c r="H520" i="8"/>
  <c r="H519" i="8"/>
  <c r="H518" i="8"/>
  <c r="H517" i="8"/>
  <c r="H516" i="8"/>
  <c r="H515" i="8"/>
  <c r="H514" i="8"/>
  <c r="H513" i="8"/>
  <c r="H512" i="8"/>
  <c r="H511" i="8"/>
  <c r="H510" i="8"/>
  <c r="H509" i="8"/>
  <c r="H508" i="8"/>
  <c r="H507" i="8"/>
  <c r="H506" i="8"/>
  <c r="H505" i="8"/>
  <c r="H504" i="8"/>
  <c r="H503" i="8"/>
  <c r="H502" i="8"/>
  <c r="H501" i="8"/>
  <c r="H500" i="8"/>
  <c r="H499" i="8"/>
  <c r="H498" i="8"/>
  <c r="H497" i="8"/>
  <c r="H496" i="8"/>
  <c r="H495" i="8"/>
  <c r="H494" i="8"/>
  <c r="H493" i="8"/>
  <c r="H492" i="8"/>
  <c r="H491" i="8"/>
  <c r="H490" i="8"/>
  <c r="H489" i="8"/>
  <c r="H488" i="8"/>
  <c r="H487" i="8"/>
  <c r="H486" i="8"/>
  <c r="H485" i="8"/>
  <c r="H484" i="8"/>
  <c r="H483" i="8"/>
  <c r="H482" i="8"/>
  <c r="H481" i="8"/>
  <c r="H480" i="8"/>
  <c r="H479" i="8"/>
  <c r="H478" i="8"/>
  <c r="H477" i="8"/>
  <c r="H476" i="8"/>
  <c r="H475" i="8"/>
  <c r="H474" i="8"/>
  <c r="H473" i="8"/>
  <c r="H472" i="8"/>
  <c r="H471" i="8"/>
  <c r="H470" i="8"/>
  <c r="H469" i="8"/>
  <c r="H468" i="8"/>
  <c r="H467" i="8"/>
  <c r="H466" i="8"/>
  <c r="H465" i="8"/>
  <c r="H464" i="8"/>
  <c r="H463" i="8"/>
  <c r="H462" i="8"/>
  <c r="H461" i="8"/>
  <c r="H460" i="8"/>
  <c r="H459" i="8"/>
  <c r="H458" i="8"/>
  <c r="H457" i="8"/>
  <c r="H456" i="8"/>
  <c r="H455" i="8"/>
  <c r="H454" i="8"/>
  <c r="H453" i="8"/>
  <c r="H452" i="8"/>
  <c r="H451" i="8"/>
  <c r="H450" i="8"/>
  <c r="H449" i="8"/>
  <c r="H448" i="8"/>
  <c r="H447" i="8"/>
  <c r="H446" i="8"/>
  <c r="H445" i="8"/>
  <c r="H444" i="8"/>
  <c r="H443" i="8"/>
  <c r="H442" i="8"/>
  <c r="H441" i="8"/>
  <c r="H440" i="8"/>
  <c r="H439" i="8"/>
  <c r="H438" i="8"/>
  <c r="H437" i="8"/>
  <c r="H436" i="8"/>
  <c r="H435" i="8"/>
  <c r="H434" i="8"/>
  <c r="H433" i="8"/>
  <c r="H432" i="8"/>
  <c r="H431" i="8"/>
  <c r="H430" i="8"/>
  <c r="H429" i="8"/>
  <c r="H428" i="8"/>
  <c r="H427" i="8"/>
  <c r="H426" i="8"/>
  <c r="H425" i="8"/>
  <c r="H424" i="8"/>
  <c r="H423" i="8"/>
  <c r="H422" i="8"/>
  <c r="H421" i="8"/>
  <c r="H420" i="8"/>
  <c r="H419" i="8"/>
  <c r="H418" i="8"/>
  <c r="H417" i="8"/>
  <c r="H416" i="8"/>
  <c r="H415" i="8"/>
  <c r="H414" i="8"/>
  <c r="H413" i="8"/>
  <c r="H412" i="8"/>
  <c r="H411" i="8"/>
  <c r="H410" i="8"/>
  <c r="H409" i="8"/>
  <c r="H408" i="8"/>
  <c r="H407" i="8"/>
  <c r="H406" i="8"/>
  <c r="H405" i="8"/>
  <c r="H404" i="8"/>
  <c r="H403" i="8"/>
  <c r="H402" i="8"/>
  <c r="H401" i="8"/>
  <c r="H400" i="8"/>
  <c r="H399" i="8"/>
  <c r="H398" i="8"/>
  <c r="H397" i="8"/>
  <c r="H396" i="8"/>
  <c r="H395" i="8"/>
  <c r="H394" i="8"/>
  <c r="H393" i="8"/>
  <c r="H392" i="8"/>
  <c r="H391" i="8"/>
  <c r="H390" i="8"/>
  <c r="H389" i="8"/>
  <c r="H388" i="8"/>
  <c r="H387" i="8"/>
  <c r="H386" i="8"/>
  <c r="H385" i="8"/>
  <c r="H384" i="8"/>
  <c r="H383" i="8"/>
  <c r="H382" i="8"/>
  <c r="H381" i="8"/>
  <c r="H380" i="8"/>
  <c r="H379" i="8"/>
  <c r="H378" i="8"/>
  <c r="H377" i="8"/>
  <c r="H376" i="8"/>
  <c r="H375" i="8"/>
  <c r="H374" i="8"/>
  <c r="H373" i="8"/>
  <c r="H372" i="8"/>
  <c r="H371" i="8"/>
  <c r="H370" i="8"/>
  <c r="H369" i="8"/>
  <c r="H368" i="8"/>
  <c r="H367" i="8"/>
  <c r="H366" i="8"/>
  <c r="H365" i="8"/>
  <c r="H364" i="8"/>
  <c r="H363" i="8"/>
  <c r="H362" i="8"/>
  <c r="H361" i="8"/>
  <c r="H360" i="8"/>
  <c r="H359" i="8"/>
  <c r="H358" i="8"/>
  <c r="H357" i="8"/>
  <c r="H356" i="8"/>
  <c r="H355" i="8"/>
  <c r="H354" i="8"/>
  <c r="H353" i="8"/>
  <c r="H352" i="8"/>
  <c r="H351" i="8"/>
  <c r="H350" i="8"/>
  <c r="H349" i="8"/>
  <c r="H348" i="8"/>
  <c r="H347" i="8"/>
  <c r="H346" i="8"/>
  <c r="H345" i="8"/>
  <c r="H344" i="8"/>
  <c r="H343" i="8"/>
  <c r="H342" i="8"/>
  <c r="H341" i="8"/>
  <c r="H340" i="8"/>
  <c r="H339" i="8"/>
  <c r="H338" i="8"/>
  <c r="H337" i="8"/>
  <c r="H336" i="8"/>
  <c r="H335" i="8"/>
  <c r="H334" i="8"/>
  <c r="H333" i="8"/>
  <c r="H332" i="8"/>
  <c r="H331" i="8"/>
  <c r="H330" i="8"/>
  <c r="H329" i="8"/>
  <c r="H328" i="8"/>
  <c r="H327" i="8"/>
  <c r="H326" i="8"/>
  <c r="H325" i="8"/>
  <c r="H324" i="8"/>
  <c r="H323" i="8"/>
  <c r="H322" i="8"/>
  <c r="H321" i="8"/>
  <c r="H320" i="8"/>
  <c r="H319" i="8"/>
  <c r="H318" i="8"/>
  <c r="H317" i="8"/>
  <c r="H316" i="8"/>
  <c r="H315" i="8"/>
  <c r="H314" i="8"/>
  <c r="H313" i="8"/>
  <c r="H312" i="8"/>
  <c r="H311" i="8"/>
  <c r="H310" i="8"/>
  <c r="H309" i="8"/>
  <c r="H308" i="8"/>
  <c r="H307" i="8"/>
  <c r="H306" i="8"/>
  <c r="H305" i="8"/>
  <c r="H304" i="8"/>
  <c r="H303" i="8"/>
  <c r="H302" i="8"/>
  <c r="H301" i="8"/>
  <c r="H300" i="8"/>
  <c r="H299" i="8"/>
  <c r="H298" i="8"/>
  <c r="H297" i="8"/>
  <c r="H296" i="8"/>
  <c r="H295" i="8"/>
  <c r="H294" i="8"/>
  <c r="H293" i="8"/>
  <c r="H292" i="8"/>
  <c r="H291" i="8"/>
  <c r="H290" i="8"/>
  <c r="H289" i="8"/>
  <c r="H288" i="8"/>
  <c r="H287" i="8"/>
  <c r="H286" i="8"/>
  <c r="H285" i="8"/>
  <c r="H284" i="8"/>
  <c r="H283" i="8"/>
  <c r="H282" i="8"/>
  <c r="H281" i="8"/>
  <c r="H280" i="8"/>
  <c r="H279" i="8"/>
  <c r="H278" i="8"/>
  <c r="H277" i="8"/>
  <c r="H276" i="8"/>
  <c r="H275" i="8"/>
  <c r="H274" i="8"/>
  <c r="H273" i="8"/>
  <c r="H272" i="8"/>
  <c r="H271" i="8"/>
  <c r="H270" i="8"/>
  <c r="H269" i="8"/>
  <c r="H268" i="8"/>
  <c r="H267" i="8"/>
  <c r="H266" i="8"/>
  <c r="H265" i="8"/>
  <c r="H264" i="8"/>
  <c r="H263" i="8"/>
  <c r="H262" i="8"/>
  <c r="H261" i="8"/>
  <c r="H260" i="8"/>
  <c r="H259" i="8"/>
  <c r="H258" i="8"/>
  <c r="H257" i="8"/>
  <c r="H256" i="8"/>
  <c r="H255" i="8"/>
  <c r="H254" i="8"/>
  <c r="H253" i="8"/>
  <c r="H252" i="8"/>
  <c r="H251" i="8"/>
  <c r="H250" i="8"/>
  <c r="H249" i="8"/>
  <c r="H248" i="8"/>
  <c r="H247" i="8"/>
  <c r="H246" i="8"/>
  <c r="H245" i="8"/>
  <c r="H244" i="8"/>
  <c r="H243" i="8"/>
  <c r="H242" i="8"/>
  <c r="H241" i="8"/>
  <c r="H240" i="8"/>
  <c r="H239" i="8"/>
  <c r="H238" i="8"/>
  <c r="H237" i="8"/>
  <c r="H236" i="8"/>
  <c r="H235" i="8"/>
  <c r="H234" i="8"/>
  <c r="H233" i="8"/>
  <c r="H232" i="8"/>
  <c r="H231" i="8"/>
  <c r="H230" i="8"/>
  <c r="H229" i="8"/>
  <c r="H228" i="8"/>
  <c r="H227" i="8"/>
  <c r="H226" i="8"/>
  <c r="H225" i="8"/>
  <c r="H224" i="8"/>
  <c r="H223" i="8"/>
  <c r="H222" i="8"/>
  <c r="H221" i="8"/>
  <c r="H220" i="8"/>
  <c r="H219" i="8"/>
  <c r="H218" i="8"/>
  <c r="H217" i="8"/>
  <c r="H216" i="8"/>
  <c r="H215" i="8"/>
  <c r="H214" i="8"/>
  <c r="H213" i="8"/>
  <c r="H212" i="8"/>
  <c r="H211" i="8"/>
  <c r="H210" i="8"/>
  <c r="H209" i="8"/>
  <c r="H208" i="8"/>
  <c r="H207" i="8"/>
  <c r="H206" i="8"/>
  <c r="H205" i="8"/>
  <c r="H204" i="8"/>
  <c r="H203" i="8"/>
  <c r="H202" i="8"/>
  <c r="H201" i="8"/>
  <c r="H200" i="8"/>
  <c r="H199" i="8"/>
  <c r="H198" i="8"/>
  <c r="H197" i="8"/>
  <c r="H196" i="8"/>
  <c r="H195" i="8"/>
  <c r="H194" i="8"/>
  <c r="H193" i="8"/>
  <c r="H192" i="8"/>
  <c r="H191" i="8"/>
  <c r="H190" i="8"/>
  <c r="H189" i="8"/>
  <c r="H188" i="8"/>
  <c r="H187" i="8"/>
  <c r="H186" i="8"/>
  <c r="H185" i="8"/>
  <c r="H184" i="8"/>
  <c r="H183" i="8"/>
  <c r="H182" i="8"/>
  <c r="H181" i="8"/>
  <c r="H180" i="8"/>
  <c r="H179" i="8"/>
  <c r="H178" i="8"/>
  <c r="H177" i="8"/>
  <c r="H176" i="8"/>
  <c r="H175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28" i="8"/>
  <c r="H127" i="8"/>
  <c r="H126" i="8"/>
  <c r="H125" i="8"/>
  <c r="H124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16" i="8"/>
  <c r="H15" i="8"/>
  <c r="H17" i="8"/>
  <c r="H41" i="8"/>
  <c r="H23" i="8"/>
  <c r="H28" i="8" l="1"/>
  <c r="H27" i="8"/>
  <c r="H26" i="8"/>
  <c r="H25" i="8"/>
  <c r="H24" i="8"/>
  <c r="H33" i="8"/>
  <c r="H32" i="8"/>
  <c r="H31" i="8"/>
  <c r="H30" i="8"/>
  <c r="H29" i="8"/>
  <c r="H38" i="8"/>
  <c r="H37" i="8"/>
  <c r="H36" i="8"/>
  <c r="H35" i="8"/>
  <c r="H34" i="8"/>
  <c r="H9" i="5" l="1"/>
  <c r="H8" i="5"/>
  <c r="H7" i="5"/>
  <c r="H6" i="5"/>
  <c r="H5" i="5"/>
  <c r="H4" i="5"/>
  <c r="H710" i="4" l="1"/>
  <c r="H709" i="4"/>
  <c r="H704" i="4"/>
  <c r="H703" i="4"/>
  <c r="H702" i="4"/>
  <c r="H701" i="4"/>
  <c r="H696" i="4"/>
  <c r="H695" i="4"/>
  <c r="H694" i="4"/>
  <c r="H693" i="4"/>
  <c r="H692" i="4"/>
  <c r="H691" i="4"/>
  <c r="H690" i="4"/>
  <c r="H689" i="4"/>
  <c r="H688" i="4"/>
  <c r="H687" i="4"/>
  <c r="H686" i="4"/>
  <c r="H685" i="4"/>
  <c r="H684" i="4"/>
  <c r="H683" i="4"/>
  <c r="H682" i="4"/>
  <c r="H681" i="4"/>
  <c r="H680" i="4"/>
  <c r="H679" i="4"/>
  <c r="H678" i="4"/>
  <c r="H677" i="4"/>
  <c r="H676" i="4"/>
  <c r="H675" i="4"/>
  <c r="H674" i="4"/>
  <c r="H673" i="4"/>
  <c r="H672" i="4"/>
  <c r="H671" i="4"/>
  <c r="H670" i="4"/>
  <c r="H669" i="4"/>
  <c r="H668" i="4"/>
  <c r="H667" i="4"/>
  <c r="H666" i="4"/>
  <c r="H665" i="4"/>
  <c r="H664" i="4"/>
  <c r="H663" i="4"/>
  <c r="H662" i="4"/>
  <c r="H661" i="4"/>
  <c r="H660" i="4"/>
  <c r="H659" i="4"/>
  <c r="H658" i="4"/>
  <c r="H653" i="4"/>
  <c r="H652" i="4"/>
  <c r="H651" i="4"/>
  <c r="H650" i="4"/>
  <c r="H649" i="4"/>
  <c r="H648" i="4"/>
  <c r="H647" i="4"/>
  <c r="H646" i="4"/>
  <c r="H645" i="4"/>
  <c r="H644" i="4"/>
  <c r="H643" i="4"/>
  <c r="H642" i="4"/>
  <c r="H641" i="4"/>
  <c r="H640" i="4"/>
  <c r="H639" i="4"/>
  <c r="H638" i="4"/>
  <c r="H637" i="4"/>
  <c r="H636" i="4"/>
  <c r="H635" i="4"/>
  <c r="H634" i="4"/>
  <c r="H633" i="4"/>
  <c r="H632" i="4"/>
  <c r="H631" i="4"/>
  <c r="H630" i="4"/>
  <c r="H629" i="4"/>
  <c r="H628" i="4"/>
  <c r="H627" i="4"/>
  <c r="H626" i="4"/>
  <c r="H625" i="4"/>
  <c r="H624" i="4"/>
  <c r="H623" i="4"/>
  <c r="H622" i="4"/>
  <c r="H621" i="4"/>
  <c r="H620" i="4"/>
  <c r="H619" i="4"/>
  <c r="H618" i="4"/>
  <c r="H617" i="4"/>
  <c r="H616" i="4"/>
  <c r="H615" i="4"/>
  <c r="H610" i="4"/>
  <c r="H609" i="4"/>
  <c r="H608" i="4"/>
  <c r="H607" i="4"/>
  <c r="H606" i="4"/>
  <c r="H605" i="4"/>
  <c r="H604" i="4"/>
  <c r="H603" i="4"/>
  <c r="H602" i="4"/>
  <c r="H601" i="4"/>
  <c r="H600" i="4"/>
  <c r="H599" i="4"/>
  <c r="H598" i="4"/>
  <c r="H597" i="4"/>
  <c r="H596" i="4"/>
  <c r="H595" i="4"/>
  <c r="H594" i="4"/>
  <c r="H593" i="4"/>
  <c r="H592" i="4"/>
  <c r="H591" i="4"/>
  <c r="H590" i="4"/>
  <c r="H589" i="4"/>
  <c r="H588" i="4"/>
  <c r="H587" i="4"/>
  <c r="H586" i="4"/>
  <c r="H585" i="4"/>
  <c r="H584" i="4"/>
  <c r="H583" i="4"/>
  <c r="H582" i="4"/>
  <c r="H581" i="4"/>
  <c r="H580" i="4"/>
  <c r="H579" i="4"/>
  <c r="H578" i="4"/>
  <c r="H577" i="4"/>
  <c r="H576" i="4"/>
  <c r="H575" i="4"/>
  <c r="H574" i="4"/>
  <c r="H573" i="4"/>
  <c r="H572" i="4"/>
  <c r="H567" i="4"/>
  <c r="H566" i="4"/>
  <c r="H565" i="4"/>
  <c r="H564" i="4"/>
  <c r="H563" i="4"/>
  <c r="H562" i="4"/>
  <c r="H561" i="4"/>
  <c r="H560" i="4"/>
  <c r="H559" i="4"/>
  <c r="H558" i="4"/>
  <c r="H557" i="4"/>
  <c r="H556" i="4"/>
  <c r="H555" i="4"/>
  <c r="H554" i="4"/>
  <c r="H553" i="4"/>
  <c r="H552" i="4"/>
  <c r="H551" i="4"/>
  <c r="H550" i="4"/>
  <c r="H549" i="4"/>
  <c r="H548" i="4"/>
  <c r="H547" i="4"/>
  <c r="H546" i="4"/>
  <c r="H545" i="4"/>
  <c r="H544" i="4"/>
  <c r="H543" i="4"/>
  <c r="H542" i="4"/>
  <c r="H541" i="4"/>
  <c r="H540" i="4"/>
  <c r="H539" i="4"/>
  <c r="H538" i="4"/>
  <c r="H537" i="4"/>
  <c r="H536" i="4"/>
  <c r="H535" i="4"/>
  <c r="H534" i="4"/>
  <c r="H533" i="4"/>
  <c r="H532" i="4"/>
  <c r="H531" i="4"/>
  <c r="H530" i="4"/>
  <c r="H529" i="4"/>
  <c r="H524" i="4"/>
  <c r="H523" i="4"/>
  <c r="H522" i="4"/>
  <c r="H521" i="4"/>
  <c r="H520" i="4"/>
  <c r="H519" i="4"/>
  <c r="H518" i="4"/>
  <c r="H517" i="4"/>
  <c r="H516" i="4"/>
  <c r="H515" i="4"/>
  <c r="H514" i="4"/>
  <c r="H513" i="4"/>
  <c r="H512" i="4"/>
  <c r="H511" i="4"/>
  <c r="H510" i="4"/>
  <c r="H509" i="4"/>
  <c r="H508" i="4"/>
  <c r="H507" i="4"/>
  <c r="H506" i="4"/>
  <c r="H505" i="4"/>
  <c r="H504" i="4"/>
  <c r="H503" i="4"/>
  <c r="H502" i="4"/>
  <c r="H501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1" i="4"/>
  <c r="H480" i="4"/>
  <c r="H479" i="4"/>
  <c r="H478" i="4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3" i="4"/>
  <c r="H262" i="4"/>
  <c r="H229" i="4"/>
  <c r="H192" i="4"/>
  <c r="H191" i="4"/>
  <c r="H228" i="4"/>
  <c r="H227" i="4"/>
  <c r="H185" i="4"/>
  <c r="H184" i="4"/>
  <c r="H183" i="4"/>
  <c r="H182" i="4"/>
  <c r="H180" i="4"/>
  <c r="H167" i="4"/>
  <c r="H166" i="4"/>
  <c r="H165" i="4"/>
  <c r="H164" i="4"/>
  <c r="H162" i="4"/>
  <c r="H160" i="4"/>
  <c r="H159" i="4"/>
  <c r="H158" i="4"/>
  <c r="H155" i="4"/>
  <c r="H145" i="4"/>
  <c r="H140" i="4"/>
  <c r="H139" i="4"/>
  <c r="H138" i="4"/>
  <c r="H137" i="4"/>
  <c r="H127" i="4"/>
  <c r="H126" i="4"/>
  <c r="H125" i="4"/>
  <c r="H119" i="4"/>
  <c r="H118" i="4"/>
  <c r="H116" i="4"/>
  <c r="H115" i="4"/>
  <c r="H113" i="4"/>
  <c r="H112" i="4"/>
  <c r="H110" i="4"/>
  <c r="H109" i="4"/>
  <c r="H108" i="4"/>
  <c r="H107" i="4"/>
  <c r="H106" i="4"/>
  <c r="H105" i="4"/>
  <c r="H104" i="4"/>
  <c r="H102" i="4"/>
  <c r="H101" i="4"/>
  <c r="H99" i="4"/>
  <c r="H98" i="4"/>
  <c r="H97" i="4"/>
  <c r="H96" i="4"/>
  <c r="H95" i="4"/>
  <c r="H94" i="4"/>
  <c r="H93" i="4"/>
  <c r="H91" i="4"/>
  <c r="H90" i="4"/>
  <c r="H88" i="4"/>
  <c r="H87" i="4"/>
  <c r="H86" i="4"/>
  <c r="H85" i="4"/>
  <c r="H84" i="4"/>
  <c r="H83" i="4"/>
  <c r="H82" i="4"/>
  <c r="H80" i="4"/>
  <c r="H79" i="4"/>
  <c r="H77" i="4"/>
  <c r="H76" i="4"/>
  <c r="H75" i="4"/>
  <c r="H74" i="4"/>
  <c r="H73" i="4"/>
  <c r="H72" i="4"/>
  <c r="H71" i="4"/>
  <c r="H69" i="4"/>
  <c r="H68" i="4"/>
  <c r="H66" i="4"/>
  <c r="H65" i="4"/>
  <c r="H64" i="4"/>
  <c r="H63" i="4"/>
  <c r="H62" i="4"/>
  <c r="H61" i="4"/>
  <c r="H60" i="4"/>
  <c r="H58" i="4"/>
  <c r="H57" i="4"/>
  <c r="H55" i="4"/>
  <c r="H54" i="4"/>
  <c r="H53" i="4"/>
  <c r="H52" i="4"/>
  <c r="H51" i="4"/>
  <c r="H50" i="4"/>
  <c r="H49" i="4"/>
  <c r="H47" i="4"/>
  <c r="H46" i="4"/>
  <c r="H44" i="4"/>
  <c r="H43" i="4"/>
  <c r="H42" i="4"/>
  <c r="H41" i="4"/>
  <c r="H40" i="4"/>
  <c r="H39" i="4"/>
  <c r="H38" i="4"/>
  <c r="H36" i="4"/>
  <c r="H35" i="4"/>
  <c r="H33" i="4"/>
  <c r="H32" i="4"/>
  <c r="H31" i="4"/>
  <c r="H30" i="4"/>
  <c r="H29" i="4"/>
  <c r="H28" i="4"/>
  <c r="H27" i="4"/>
  <c r="H25" i="4"/>
  <c r="H24" i="4"/>
  <c r="H22" i="4"/>
  <c r="H21" i="4"/>
  <c r="H20" i="4"/>
  <c r="H19" i="4"/>
  <c r="H18" i="4"/>
  <c r="H17" i="4"/>
  <c r="H16" i="4"/>
  <c r="H14" i="4"/>
  <c r="H11" i="4"/>
  <c r="H10" i="4"/>
  <c r="H9" i="4"/>
  <c r="H8" i="4"/>
  <c r="H7" i="4"/>
  <c r="H6" i="4"/>
  <c r="H5" i="4"/>
  <c r="H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坂上 俊二</author>
  </authors>
  <commentList>
    <comment ref="D4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環境変数を使用する場合は下記の通り「%」で括る
%環境変数%
複数の場所に出力する場合は、「,」で区切る
%IOTDSERVER%\Bin,C:\repos\IoTDataServer\Trunk\Bin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坂上 俊二</author>
  </authors>
  <commentList>
    <comment ref="G3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○：IoTDSDataSys.xml
×：IoTDSData.xml
スペース：両方</t>
        </r>
      </text>
    </comment>
    <comment ref="C4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
</t>
        </r>
        <r>
          <rPr>
            <b/>
            <sz val="9"/>
            <color indexed="53"/>
            <rFont val="MS P ゴシック"/>
            <family val="3"/>
            <charset val="128"/>
          </rPr>
          <t>設定シートで変更して！
ここはリンクです。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坂上 俊二</author>
  </authors>
  <commentList>
    <comment ref="G3" authorId="0" shapeId="0" xr:uid="{00000000-0006-0000-0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○：IoTDSDataSys.xml
×：IoTDSData.xml
スペース：両方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坂上 俊二</author>
  </authors>
  <commentList>
    <comment ref="G3" authorId="0" shapeId="0" xr:uid="{00000000-0006-0000-0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○：IoTDSDataSys.xml
×：IoTDSData.xml
スペース：両方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坂上 俊二</author>
  </authors>
  <commentList>
    <comment ref="G3" authorId="0" shapeId="0" xr:uid="{00000000-0006-0000-04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○：IoTDSDataSys.xml
×：IoTDSData.xml
スペース：両方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坂上 俊二</author>
  </authors>
  <commentList>
    <comment ref="G3" authorId="0" shapeId="0" xr:uid="{00000000-0006-0000-05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○：IoTDSDataSys.xml
×：IoTDSData.xml
スペース：両方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坂上 俊二</author>
  </authors>
  <commentList>
    <comment ref="G3" authorId="0" shapeId="0" xr:uid="{00000000-0006-0000-06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○：IoTDSDataSys.xml
×：IoTDSData.xml
スペース：両方</t>
        </r>
      </text>
    </comment>
  </commentList>
</comments>
</file>

<file path=xl/sharedStrings.xml><?xml version="1.0" encoding="utf-8"?>
<sst xmlns="http://schemas.openxmlformats.org/spreadsheetml/2006/main" count="10395" uniqueCount="4565">
  <si>
    <t>System</t>
    <phoneticPr fontId="1"/>
  </si>
  <si>
    <t>項目</t>
    <rPh sb="0" eb="2">
      <t>コウモク</t>
    </rPh>
    <phoneticPr fontId="1"/>
  </si>
  <si>
    <t>項目名</t>
    <rPh sb="0" eb="3">
      <t>コウモクメイ</t>
    </rPh>
    <phoneticPr fontId="1"/>
  </si>
  <si>
    <t>デフォルト値</t>
    <rPh sb="5" eb="6">
      <t>チ</t>
    </rPh>
    <phoneticPr fontId="1"/>
  </si>
  <si>
    <t>有効/無効</t>
    <rPh sb="0" eb="2">
      <t>ユウコウ</t>
    </rPh>
    <rPh sb="3" eb="5">
      <t>ムコウ</t>
    </rPh>
    <phoneticPr fontId="1"/>
  </si>
  <si>
    <t>イーサネット[1]. IPアドレス</t>
    <phoneticPr fontId="1"/>
  </si>
  <si>
    <t>COM_ET1_IP_ADDR</t>
  </si>
  <si>
    <t>0xc0a80101</t>
    <phoneticPr fontId="1"/>
  </si>
  <si>
    <t>イーサネット[1]. Subnet mask</t>
    <phoneticPr fontId="1"/>
  </si>
  <si>
    <t>COM_ET1_SUBNET_MASK</t>
  </si>
  <si>
    <t>イーサネット[1]. デフォルトゲートウェイ</t>
    <phoneticPr fontId="1"/>
  </si>
  <si>
    <t>COM_ET1_ROUTE_GATE5</t>
  </si>
  <si>
    <t>0xc0a801fe</t>
    <phoneticPr fontId="1"/>
  </si>
  <si>
    <t>COM_ET1_DHCP_ENABLE</t>
  </si>
  <si>
    <t>COM_ET1_DNS_ADDR_SPEC</t>
  </si>
  <si>
    <t>イーサネット[1]. 優先DNSサーバアドレス</t>
    <phoneticPr fontId="1"/>
  </si>
  <si>
    <t>COM_ET1_PRI_DNS_ADDR</t>
  </si>
  <si>
    <t>イーサネット[1]. 代替DNSサーバアドレス</t>
    <phoneticPr fontId="1"/>
  </si>
  <si>
    <t>COM_ET1_SEC_DNS_ADDR</t>
  </si>
  <si>
    <t>イーサネット[1]. 優先WINSサーバアドレス</t>
    <phoneticPr fontId="1"/>
  </si>
  <si>
    <t>COM_ET1_PRI_WINS_ADDR</t>
  </si>
  <si>
    <t>イーサネット[1]. 代替WINSサーバアドレス</t>
    <phoneticPr fontId="1"/>
  </si>
  <si>
    <t>COM_ET1_SEC_WINS_ADDR</t>
  </si>
  <si>
    <t>イーサネット[2]. IPアドレス</t>
    <phoneticPr fontId="1"/>
  </si>
  <si>
    <t>COM_ET2_IP_ADDR</t>
  </si>
  <si>
    <t>0xc0a80201</t>
    <phoneticPr fontId="1"/>
  </si>
  <si>
    <t>イーサネット[2]. Subnet mask</t>
    <phoneticPr fontId="1"/>
  </si>
  <si>
    <t>COM_ET2_SUBNET_MASK</t>
  </si>
  <si>
    <t>イーサネット[2]. デフォルトゲートウェイ</t>
    <phoneticPr fontId="1"/>
  </si>
  <si>
    <t>COM_ET2_ROUTE_GATE5</t>
  </si>
  <si>
    <t>0xc0a802fe</t>
    <phoneticPr fontId="1"/>
  </si>
  <si>
    <t>COM_ET2_DHCP_ENABLE</t>
  </si>
  <si>
    <t>COM_ET2_DNS_ADDR_SPEC</t>
  </si>
  <si>
    <t>イーサネット[2]. 優先DNSサーバアドレス</t>
    <phoneticPr fontId="1"/>
  </si>
  <si>
    <t>COM_ET2_PRI_DNS_ADDR</t>
  </si>
  <si>
    <t>イーサネット[2]. 代替DNSサーバアドレス</t>
    <phoneticPr fontId="1"/>
  </si>
  <si>
    <t>COM_ET2_SEC_DNS_ADDR</t>
  </si>
  <si>
    <t>イーサネット[2]. 優先WINSサーバアドレス</t>
    <phoneticPr fontId="1"/>
  </si>
  <si>
    <t>COM_ET2_PRI_WINS_ADDR</t>
  </si>
  <si>
    <t>イーサネット[2]. 代替WINSサーバアドレス</t>
    <phoneticPr fontId="1"/>
  </si>
  <si>
    <t>COM_ET2_SEC_WINS_ADDR</t>
  </si>
  <si>
    <t>イーサネット[3]. IPアドレス</t>
    <phoneticPr fontId="1"/>
  </si>
  <si>
    <t>COM_ET3_IP_ADDR</t>
    <phoneticPr fontId="1"/>
  </si>
  <si>
    <t>0xc0a80301</t>
    <phoneticPr fontId="1"/>
  </si>
  <si>
    <t>イーサネット[3]. Subnet mask</t>
    <phoneticPr fontId="1"/>
  </si>
  <si>
    <t>COM_ET3_SUBNET_MASK</t>
    <phoneticPr fontId="1"/>
  </si>
  <si>
    <t>イーサネット[3]. デフォルトゲートウェイ</t>
    <phoneticPr fontId="1"/>
  </si>
  <si>
    <t>COM_ET3_ROUTE_GATE5</t>
    <phoneticPr fontId="1"/>
  </si>
  <si>
    <t>0xc0a803fe</t>
    <phoneticPr fontId="1"/>
  </si>
  <si>
    <t>COM_ET3_DHCP_ENABLE</t>
    <phoneticPr fontId="1"/>
  </si>
  <si>
    <t>COM_ET3_DNS_ADDR_SPEC</t>
    <phoneticPr fontId="1"/>
  </si>
  <si>
    <t>イーサネット[3]. 優先DNSサーバアドレス</t>
    <phoneticPr fontId="1"/>
  </si>
  <si>
    <t>COM_ET3_PRI_DNS_ADDR</t>
    <phoneticPr fontId="1"/>
  </si>
  <si>
    <t>イーサネット[3]. 代替DNSサーバアドレス</t>
    <phoneticPr fontId="1"/>
  </si>
  <si>
    <t>COM_ET3_SEC_DNS_ADDR</t>
    <phoneticPr fontId="1"/>
  </si>
  <si>
    <t>イーサネット[3]. 優先WINSサーバアドレス</t>
    <phoneticPr fontId="1"/>
  </si>
  <si>
    <t>COM_ET3_PRI_WINS_ADDR</t>
    <phoneticPr fontId="1"/>
  </si>
  <si>
    <t>イーサネット[3]. 代替WINSサーバアドレス</t>
    <phoneticPr fontId="1"/>
  </si>
  <si>
    <t>COM_ET3_SEC_WINS_ADDR</t>
    <phoneticPr fontId="1"/>
  </si>
  <si>
    <t>イーサネット[4]. IPアドレス</t>
    <phoneticPr fontId="1"/>
  </si>
  <si>
    <t>COM_ET4_IP_ADDR</t>
  </si>
  <si>
    <t>0xc0a80401</t>
    <phoneticPr fontId="1"/>
  </si>
  <si>
    <t>イーサネット[4]. Subnet mask</t>
    <phoneticPr fontId="1"/>
  </si>
  <si>
    <t>COM_ET4_SUBNET_MASK</t>
  </si>
  <si>
    <t>イーサネット[4]. デフォルトゲートウェイ</t>
    <phoneticPr fontId="1"/>
  </si>
  <si>
    <t>COM_ET4_ROUTE_GATE5</t>
  </si>
  <si>
    <t>0xc0a804fe</t>
    <phoneticPr fontId="1"/>
  </si>
  <si>
    <t>COM_ET4_DHCP_ENABLE</t>
  </si>
  <si>
    <t>COM_ET4_DNS_ADDR_SPEC</t>
  </si>
  <si>
    <t>イーサネット[4]. 優先DNSサーバアドレス</t>
    <phoneticPr fontId="1"/>
  </si>
  <si>
    <t>COM_ET4_PRI_DNS_ADDR</t>
  </si>
  <si>
    <t>イーサネット[4]. 代替DNSサーバアドレス</t>
    <phoneticPr fontId="1"/>
  </si>
  <si>
    <t>COM_ET4_SEC_DNS_ADDR</t>
  </si>
  <si>
    <t>イーサネット[4]. 優先WINSサーバアドレス</t>
    <phoneticPr fontId="1"/>
  </si>
  <si>
    <t>COM_ET4_PRI_WINS_ADDR</t>
  </si>
  <si>
    <t>イーサネット[4]. 代替WINSサーバアドレス</t>
    <phoneticPr fontId="1"/>
  </si>
  <si>
    <t>COM_ET4_SEC_WINS_ADDR</t>
  </si>
  <si>
    <t>イーサネット[5]. IPアドレス</t>
  </si>
  <si>
    <t>COM_ET5_IP_ADDR</t>
  </si>
  <si>
    <t>0xc0a80501</t>
    <phoneticPr fontId="1"/>
  </si>
  <si>
    <t>イーサネット[5]. Subnet mask</t>
  </si>
  <si>
    <t>COM_ET5_SUBNET_MASK</t>
  </si>
  <si>
    <t>イーサネット[5]. デフォルトゲートウェイ</t>
  </si>
  <si>
    <t>COM_ET5_ROUTE_GATE5</t>
  </si>
  <si>
    <t>0xc0a805fe</t>
    <phoneticPr fontId="1"/>
  </si>
  <si>
    <t>COM_ET5_DHCP_ENABLE</t>
  </si>
  <si>
    <t>COM_ET5_DNS_ADDR_SPEC</t>
  </si>
  <si>
    <t>イーサネット[5]. 優先DNSサーバアドレス</t>
  </si>
  <si>
    <t>COM_ET5_PRI_DNS_ADDR</t>
  </si>
  <si>
    <t>イーサネット[5]. 代替DNSサーバアドレス</t>
  </si>
  <si>
    <t>COM_ET5_SEC_DNS_ADDR</t>
  </si>
  <si>
    <t>イーサネット[5]. 優先WINSサーバアドレス</t>
  </si>
  <si>
    <t>COM_ET5_PRI_WINS_ADDR</t>
  </si>
  <si>
    <t>イーサネット[5]. 代替WINSサーバアドレス</t>
  </si>
  <si>
    <t>COM_ET5_SEC_WINS_ADDR</t>
  </si>
  <si>
    <t>イーサネット[6]. IPアドレス</t>
  </si>
  <si>
    <t>COM_ET6_IP_ADDR</t>
  </si>
  <si>
    <t>0xc0a80601</t>
    <phoneticPr fontId="1"/>
  </si>
  <si>
    <t>イーサネット[6]. Subnet mask</t>
  </si>
  <si>
    <t>COM_ET6_SUBNET_MASK</t>
  </si>
  <si>
    <t>イーサネット[6]. デフォルトゲートウェイ</t>
  </si>
  <si>
    <t>COM_ET6_ROUTE_GATE5</t>
  </si>
  <si>
    <t>0xc0a806fe</t>
    <phoneticPr fontId="1"/>
  </si>
  <si>
    <t>COM_ET6_DHCP_ENABLE</t>
  </si>
  <si>
    <t>COM_ET6_DNS_ADDR_SPEC</t>
  </si>
  <si>
    <t>イーサネット[6]. 優先DNSサーバアドレス</t>
  </si>
  <si>
    <t>COM_ET6_PRI_DNS_ADDR</t>
  </si>
  <si>
    <t>イーサネット[6]. 代替DNSサーバアドレス</t>
  </si>
  <si>
    <t>COM_ET6_SEC_DNS_ADDR</t>
  </si>
  <si>
    <t>イーサネット[6]. 優先WINSサーバアドレス</t>
  </si>
  <si>
    <t>COM_ET6_PRI_WINS_ADDR</t>
  </si>
  <si>
    <t>イーサネット[6]. 代替WINSサーバアドレス</t>
  </si>
  <si>
    <t>COM_ET6_SEC_WINS_ADDR</t>
  </si>
  <si>
    <t>イーサネット[7]. IPアドレス</t>
  </si>
  <si>
    <t>COM_ET7_IP_ADDR</t>
  </si>
  <si>
    <t>0xc0a80701</t>
    <phoneticPr fontId="1"/>
  </si>
  <si>
    <t>イーサネット[7]. Subnet mask</t>
  </si>
  <si>
    <t>COM_ET7_SUBNET_MASK</t>
  </si>
  <si>
    <t>イーサネット[7]. デフォルトゲートウェイ</t>
  </si>
  <si>
    <t>COM_ET7_ROUTE_GATE5</t>
  </si>
  <si>
    <t>0xc0a807fe</t>
    <phoneticPr fontId="1"/>
  </si>
  <si>
    <t>COM_ET7_DHCP_ENABLE</t>
  </si>
  <si>
    <t>COM_ET7_DNS_ADDR_SPEC</t>
  </si>
  <si>
    <t>イーサネット[7]. 優先DNSサーバアドレス</t>
  </si>
  <si>
    <t>COM_ET7_PRI_DNS_ADDR</t>
  </si>
  <si>
    <t>イーサネット[7]. 代替DNSサーバアドレス</t>
  </si>
  <si>
    <t>COM_ET7_SEC_DNS_ADDR</t>
  </si>
  <si>
    <t>イーサネット[7]. 優先WINSサーバアドレス</t>
  </si>
  <si>
    <t>COM_ET7_PRI_WINS_ADDR</t>
  </si>
  <si>
    <t>イーサネット[7]. 代替WINSサーバアドレス</t>
  </si>
  <si>
    <t>COM_ET7_SEC_WINS_ADDR</t>
  </si>
  <si>
    <t>イーサネット[8]. IPアドレス</t>
  </si>
  <si>
    <t>COM_ET8_IP_ADDR</t>
  </si>
  <si>
    <t>0xc0a80801</t>
    <phoneticPr fontId="1"/>
  </si>
  <si>
    <t>イーサネット[8]. Subnet mask</t>
  </si>
  <si>
    <t>COM_ET8_SUBNET_MASK</t>
  </si>
  <si>
    <t>イーサネット[8]. デフォルトゲートウェイ</t>
  </si>
  <si>
    <t>COM_ET8_ROUTE_GATE5</t>
  </si>
  <si>
    <t>0xc0a808fe</t>
    <phoneticPr fontId="1"/>
  </si>
  <si>
    <t>COM_ET8_DHCP_ENABLE</t>
  </si>
  <si>
    <t>COM_ET8_DNS_ADDR_SPEC</t>
  </si>
  <si>
    <t>イーサネット[8]. 優先DNSサーバアドレス</t>
  </si>
  <si>
    <t>COM_ET8_PRI_DNS_ADDR</t>
  </si>
  <si>
    <t>イーサネット[8]. 代替DNSサーバアドレス</t>
  </si>
  <si>
    <t>COM_ET8_SEC_DNS_ADDR</t>
  </si>
  <si>
    <t>イーサネット[8]. 優先WINSサーバアドレス</t>
  </si>
  <si>
    <t>COM_ET8_PRI_WINS_ADDR</t>
  </si>
  <si>
    <t>イーサネット[8]. 代替WINSサーバアドレス</t>
  </si>
  <si>
    <t>COM_ET8_SEC_WINS_ADDR</t>
  </si>
  <si>
    <t>イーサネット[9]. IPアドレス</t>
  </si>
  <si>
    <t>COM_ET9_IP_ADDR</t>
  </si>
  <si>
    <t>0xc0a80901</t>
    <phoneticPr fontId="1"/>
  </si>
  <si>
    <t>イーサネット[9]. Subnet mask</t>
  </si>
  <si>
    <t>COM_ET9_SUBNET_MASK</t>
  </si>
  <si>
    <t>イーサネット[9]. デフォルトゲートウェイ</t>
  </si>
  <si>
    <t>COM_ET9_ROUTE_GATE5</t>
  </si>
  <si>
    <t>0xc0a809fe</t>
    <phoneticPr fontId="1"/>
  </si>
  <si>
    <t>COM_ET9_DHCP_ENABLE</t>
  </si>
  <si>
    <t>COM_ET9_DNS_ADDR_SPEC</t>
  </si>
  <si>
    <t>イーサネット[9]. 優先DNSサーバアドレス</t>
  </si>
  <si>
    <t>COM_ET9_PRI_DNS_ADDR</t>
  </si>
  <si>
    <t>イーサネット[9]. 代替DNSサーバアドレス</t>
  </si>
  <si>
    <t>COM_ET9_SEC_DNS_ADDR</t>
  </si>
  <si>
    <t>イーサネット[9]. 優先WINSサーバアドレス</t>
  </si>
  <si>
    <t>COM_ET9_PRI_WINS_ADDR</t>
  </si>
  <si>
    <t>イーサネット[9]. 代替WINSサーバアドレス</t>
  </si>
  <si>
    <t>COM_ET9_SEC_WINS_ADDR</t>
  </si>
  <si>
    <t>イーサネット[10]. IPアドレス</t>
  </si>
  <si>
    <t>COM_ET10_IP_ADDR</t>
  </si>
  <si>
    <t>0xc0a80a01</t>
    <phoneticPr fontId="1"/>
  </si>
  <si>
    <t>イーサネット[10]. Subnet mask</t>
  </si>
  <si>
    <t>COM_ET10_SUBNET_MASK</t>
  </si>
  <si>
    <t>イーサネット[10]. デフォルトゲートウェイ</t>
  </si>
  <si>
    <t>COM_ET10_ROUTE_GATE5</t>
  </si>
  <si>
    <t>0xc0a80afe</t>
    <phoneticPr fontId="1"/>
  </si>
  <si>
    <t>COM_ET10_DHCP_ENABLE</t>
  </si>
  <si>
    <t>COM_ET10_DNS_ADDR_SPEC</t>
  </si>
  <si>
    <t>イーサネット[10]. 優先DNSサーバアドレス</t>
  </si>
  <si>
    <t>COM_ET10_PRI_DNS_ADDR</t>
  </si>
  <si>
    <t>イーサネット[10]. 代替DNSサーバアドレス</t>
  </si>
  <si>
    <t>COM_ET10_SEC_DNS_ADDR</t>
  </si>
  <si>
    <t>イーサネット[10]. 優先WINSサーバアドレス</t>
  </si>
  <si>
    <t>COM_ET10_PRI_WINS_ADDR</t>
  </si>
  <si>
    <t>イーサネット[10]. 代替WINSサーバアドレス</t>
  </si>
  <si>
    <t>COM_ET10_SEC_WINS_ADDR</t>
  </si>
  <si>
    <t>プロキシアドレス</t>
    <phoneticPr fontId="1"/>
  </si>
  <si>
    <t>(空文字)</t>
    <rPh sb="1" eb="2">
      <t>カラ</t>
    </rPh>
    <rPh sb="2" eb="4">
      <t>モジ</t>
    </rPh>
    <phoneticPr fontId="1"/>
  </si>
  <si>
    <t>音量</t>
    <rPh sb="0" eb="2">
      <t>オンリョウ</t>
    </rPh>
    <phoneticPr fontId="1"/>
  </si>
  <si>
    <t>MM_SOUND_VOLUME</t>
    <phoneticPr fontId="1"/>
  </si>
  <si>
    <t>マイク</t>
    <phoneticPr fontId="1"/>
  </si>
  <si>
    <t>MM_MIC_VOLUME</t>
    <phoneticPr fontId="1"/>
  </si>
  <si>
    <t>IoT Data Server パラメータ管理マクロ</t>
    <rPh sb="21" eb="23">
      <t>カンリ</t>
    </rPh>
    <phoneticPr fontId="1"/>
  </si>
  <si>
    <t>出力フォルダ</t>
    <rPh sb="0" eb="2">
      <t>シュツリョク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</si>
  <si>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</si>
  <si>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</si>
  <si>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0x80000000</t>
  </si>
  <si>
    <t>0xffffff00</t>
  </si>
  <si>
    <t>言語モード (0:日本語|1:英語|2:ドイツ語|3:韓国語|4:中国語)</t>
  </si>
  <si>
    <t>メモリ容量警告ヒステリシス</t>
  </si>
  <si>
    <t>ユーザドライブ容量監視周期</t>
  </si>
  <si>
    <t>ユーザドライブ容量警告ヒステリシス</t>
  </si>
  <si>
    <t>IDSC_LANG_MODE</t>
  </si>
  <si>
    <t>IDSC_MEM_WARN_SRESHOLD</t>
  </si>
  <si>
    <t>IDSC_MEM_WARN_HYSTERESIS</t>
  </si>
  <si>
    <t>IDSC_MEM_ERR_SRESHOLD</t>
  </si>
  <si>
    <t>項目</t>
    <rPh sb="0" eb="2">
      <t>コウモク</t>
    </rPh>
    <phoneticPr fontId="1"/>
  </si>
  <si>
    <t>設定値</t>
    <rPh sb="0" eb="3">
      <t>セッテイチ</t>
    </rPh>
    <phoneticPr fontId="1"/>
  </si>
  <si>
    <t>出力XMLファイル名</t>
    <rPh sb="0" eb="2">
      <t>シュツリョク</t>
    </rPh>
    <rPh sb="9" eb="10">
      <t>メイ</t>
    </rPh>
    <phoneticPr fontId="1"/>
  </si>
  <si>
    <t>イーサネット[1]. DNSアドレス指定(0: 自動取得, 1: アドレス指定)</t>
  </si>
  <si>
    <t>イーサネット[2]. DNSアドレス指定(0: 自動取得, 1: アドレス指定)</t>
  </si>
  <si>
    <t>イーサネット[3]. DNSアドレス指定(0: 自動取得, 1: アドレス指定)</t>
  </si>
  <si>
    <t>イーサネット[4]. DNSアドレス指定(0: 自動取得, 1: アドレス指定)</t>
  </si>
  <si>
    <t>イーサネット[5]. DNSアドレス指定(0: 自動取得, 1: アドレス指定)</t>
  </si>
  <si>
    <t>イーサネット[6]. DNSアドレス指定(0: 自動取得, 1: アドレス指定)</t>
  </si>
  <si>
    <t>イーサネット[7]. DNSアドレス指定(0: 自動取得, 1: アドレス指定)</t>
  </si>
  <si>
    <t>イーサネット[8]. DNSアドレス指定(0: 自動取得, 1: アドレス指定)</t>
  </si>
  <si>
    <t>イーサネット[9]. DNSアドレス指定(0: 自動取得, 1: アドレス指定)</t>
  </si>
  <si>
    <t>イーサネット[10]. DNSアドレス指定(0: 自動取得, 1: アドレス指定)</t>
  </si>
  <si>
    <t>イーサネット[2]. DHCP有効 (0: 無効, 1: 有効)</t>
  </si>
  <si>
    <t>イーサネット[3]. DHCP有効 (0: 無効, 1: 有効)</t>
  </si>
  <si>
    <t>イーサネット[4]. DHCP有効 (0: 無効, 1: 有効)</t>
  </si>
  <si>
    <t>イーサネット[5]. DHCP有効 (0: 無効, 1: 有効)</t>
  </si>
  <si>
    <t>イーサネット[6]. DHCP有効 (0: 無効, 1: 有効)</t>
  </si>
  <si>
    <t>イーサネット[7]. DHCP有効 (0: 無効, 1: 有効)</t>
  </si>
  <si>
    <t>イーサネット[8]. DHCP有効 (0: 無効, 1: 有効)</t>
  </si>
  <si>
    <t>イーサネット[9]. DHCP有効 (0: 無効, 1: 有効)</t>
  </si>
  <si>
    <t>イーサネット[10]. DHCP有効 (0: 無効, 1: 有効)</t>
  </si>
  <si>
    <t>プロキシ有効 (0: 無効, 1: 有効)</t>
    <rPh sb="4" eb="6">
      <t>ユウコウ</t>
    </rPh>
    <phoneticPr fontId="1"/>
  </si>
  <si>
    <t>0x7fffffff</t>
  </si>
  <si>
    <t>IDSC_DAY_LIGHT_AUTO_ADJUST</t>
    <phoneticPr fontId="1"/>
  </si>
  <si>
    <t>○</t>
  </si>
  <si>
    <t>出力シート選択</t>
    <phoneticPr fontId="1"/>
  </si>
  <si>
    <t>System</t>
    <phoneticPr fontId="1"/>
  </si>
  <si>
    <t>DigitalIO</t>
    <phoneticPr fontId="1"/>
  </si>
  <si>
    <t>XML出力設定</t>
    <rPh sb="3" eb="5">
      <t>シュツリョク</t>
    </rPh>
    <rPh sb="5" eb="7">
      <t>セッテイ</t>
    </rPh>
    <phoneticPr fontId="1"/>
  </si>
  <si>
    <t>ソースファイル出力設定</t>
    <rPh sb="7" eb="9">
      <t>シュツリョク</t>
    </rPh>
    <rPh sb="9" eb="11">
      <t>セッテイ</t>
    </rPh>
    <phoneticPr fontId="1"/>
  </si>
  <si>
    <t>シート項目説明</t>
    <rPh sb="3" eb="5">
      <t>コウモク</t>
    </rPh>
    <rPh sb="5" eb="7">
      <t>セツメイ</t>
    </rPh>
    <phoneticPr fontId="1"/>
  </si>
  <si>
    <t>説明</t>
    <rPh sb="0" eb="2">
      <t>セツメイ</t>
    </rPh>
    <phoneticPr fontId="1"/>
  </si>
  <si>
    <t>設定項目の名称</t>
    <rPh sb="0" eb="2">
      <t>セッテイ</t>
    </rPh>
    <rPh sb="2" eb="4">
      <t>コウモク</t>
    </rPh>
    <rPh sb="5" eb="7">
      <t>メイショウ</t>
    </rPh>
    <phoneticPr fontId="1"/>
  </si>
  <si>
    <t>項目を特定するタグ</t>
    <rPh sb="0" eb="2">
      <t>コウモク</t>
    </rPh>
    <rPh sb="3" eb="5">
      <t>トクテイ</t>
    </rPh>
    <phoneticPr fontId="1"/>
  </si>
  <si>
    <t>XML出力</t>
    <rPh sb="3" eb="5">
      <t>シュツリョク</t>
    </rPh>
    <phoneticPr fontId="1"/>
  </si>
  <si>
    <t>ソース出力</t>
    <rPh sb="3" eb="5">
      <t>シュツリョク</t>
    </rPh>
    <phoneticPr fontId="1"/>
  </si>
  <si>
    <t>&lt;Comment&gt;</t>
    <phoneticPr fontId="1"/>
  </si>
  <si>
    <t>&lt;Key&gt;</t>
    <phoneticPr fontId="1"/>
  </si>
  <si>
    <t>&lt;Value&gt;</t>
    <phoneticPr fontId="1"/>
  </si>
  <si>
    <t>－</t>
    <phoneticPr fontId="1"/>
  </si>
  <si>
    <t>コメントに出力</t>
    <rPh sb="5" eb="7">
      <t>シュツリョク</t>
    </rPh>
    <phoneticPr fontId="1"/>
  </si>
  <si>
    <t>項目定義</t>
    <rPh sb="0" eb="2">
      <t>コウモク</t>
    </rPh>
    <rPh sb="2" eb="4">
      <t>テイギ</t>
    </rPh>
    <phoneticPr fontId="1"/>
  </si>
  <si>
    <t>PROXY_ENABLE</t>
    <phoneticPr fontId="1"/>
  </si>
  <si>
    <t>PROXY_ADDRESS</t>
    <phoneticPr fontId="1"/>
  </si>
  <si>
    <t>設定データ構造体のデフォルト値※</t>
    <rPh sb="0" eb="2">
      <t>セッテイ</t>
    </rPh>
    <rPh sb="5" eb="8">
      <t>コウゾウタイ</t>
    </rPh>
    <rPh sb="14" eb="15">
      <t>チ</t>
    </rPh>
    <phoneticPr fontId="1"/>
  </si>
  <si>
    <t>設定データ構造体の許容最小値※</t>
    <rPh sb="0" eb="2">
      <t>セッテイ</t>
    </rPh>
    <rPh sb="5" eb="8">
      <t>コウゾウタイ</t>
    </rPh>
    <rPh sb="9" eb="11">
      <t>キョヨウ</t>
    </rPh>
    <rPh sb="11" eb="14">
      <t>サイショウチ</t>
    </rPh>
    <phoneticPr fontId="1"/>
  </si>
  <si>
    <t>設定データ構造体の許容最大値※</t>
    <rPh sb="0" eb="2">
      <t>セッテイ</t>
    </rPh>
    <rPh sb="5" eb="8">
      <t>コウゾウタイ</t>
    </rPh>
    <rPh sb="9" eb="11">
      <t>キョヨウ</t>
    </rPh>
    <rPh sb="11" eb="14">
      <t>サイダイチ</t>
    </rPh>
    <phoneticPr fontId="1"/>
  </si>
  <si>
    <t>※デフォルト値、最小値、最大値に「0x」が含まれる場合は”HEXデータ”、「(空文字)」が設定されている場合は、”文字列データ”とする</t>
    <rPh sb="6" eb="7">
      <t>アタイ</t>
    </rPh>
    <rPh sb="8" eb="11">
      <t>サイショウチ</t>
    </rPh>
    <rPh sb="12" eb="15">
      <t>サイダイチ</t>
    </rPh>
    <rPh sb="21" eb="22">
      <t>フク</t>
    </rPh>
    <rPh sb="25" eb="27">
      <t>バアイ</t>
    </rPh>
    <rPh sb="45" eb="47">
      <t>セッテイ</t>
    </rPh>
    <rPh sb="52" eb="54">
      <t>バアイ</t>
    </rPh>
    <rPh sb="57" eb="60">
      <t>モジレツ</t>
    </rPh>
    <phoneticPr fontId="1"/>
  </si>
  <si>
    <t>Ipaddress 変換</t>
    <rPh sb="10" eb="12">
      <t>ヘンカン</t>
    </rPh>
    <phoneticPr fontId="1"/>
  </si>
  <si>
    <t>IP文字列</t>
    <rPh sb="2" eb="5">
      <t>モジレツ</t>
    </rPh>
    <phoneticPr fontId="1"/>
  </si>
  <si>
    <t>HEX</t>
  </si>
  <si>
    <t>デフォルト値の最大値</t>
    <rPh sb="7" eb="10">
      <t>サイダイチ</t>
    </rPh>
    <phoneticPr fontId="1"/>
  </si>
  <si>
    <t>デフォルト値の最小値</t>
    <rPh sb="5" eb="6">
      <t>アタイ</t>
    </rPh>
    <rPh sb="7" eb="10">
      <t>サイショウチ</t>
    </rPh>
    <phoneticPr fontId="1"/>
  </si>
  <si>
    <t>ファイル出力するデフォルト値</t>
    <rPh sb="4" eb="6">
      <t>シュツリョク</t>
    </rPh>
    <rPh sb="13" eb="14">
      <t>アタイ</t>
    </rPh>
    <phoneticPr fontId="1"/>
  </si>
  <si>
    <t>XMLファイル出力有効／無効</t>
    <rPh sb="7" eb="9">
      <t>シュツリョク</t>
    </rPh>
    <rPh sb="9" eb="11">
      <t>ユウコウ</t>
    </rPh>
    <rPh sb="12" eb="14">
      <t>ムコウ</t>
    </rPh>
    <phoneticPr fontId="1"/>
  </si>
  <si>
    <t>0xC0A80002</t>
    <phoneticPr fontId="1"/>
  </si>
  <si>
    <t>DB_SERVER_NAME</t>
    <phoneticPr fontId="1"/>
  </si>
  <si>
    <t>データベース名</t>
    <rPh sb="6" eb="7">
      <t>メイ</t>
    </rPh>
    <phoneticPr fontId="1"/>
  </si>
  <si>
    <t>データベースサーバ名</t>
    <phoneticPr fontId="1"/>
  </si>
  <si>
    <t>日付</t>
    <rPh sb="0" eb="2">
      <t>ヒヅケ</t>
    </rPh>
    <phoneticPr fontId="1"/>
  </si>
  <si>
    <t>内容</t>
    <rPh sb="0" eb="2">
      <t>ナイヨウ</t>
    </rPh>
    <phoneticPr fontId="1"/>
  </si>
  <si>
    <t>担当</t>
    <rPh sb="0" eb="2">
      <t>タントウ</t>
    </rPh>
    <phoneticPr fontId="1"/>
  </si>
  <si>
    <t>ProductID設定／取得</t>
    <rPh sb="9" eb="11">
      <t>セッテイ</t>
    </rPh>
    <rPh sb="12" eb="14">
      <t>シュトク</t>
    </rPh>
    <phoneticPr fontId="1"/>
  </si>
  <si>
    <t>新規作成</t>
    <rPh sb="0" eb="2">
      <t>シンキ</t>
    </rPh>
    <rPh sb="2" eb="4">
      <t>サクセイ</t>
    </rPh>
    <phoneticPr fontId="1"/>
  </si>
  <si>
    <t>坂上</t>
    <rPh sb="0" eb="2">
      <t>サカウエ</t>
    </rPh>
    <phoneticPr fontId="1"/>
  </si>
  <si>
    <t>DB関連追加</t>
    <rPh sb="2" eb="4">
      <t>カンレン</t>
    </rPh>
    <rPh sb="4" eb="6">
      <t>ツイカ</t>
    </rPh>
    <phoneticPr fontId="1"/>
  </si>
  <si>
    <t>タイムゾーン(stringID)</t>
    <phoneticPr fontId="1"/>
  </si>
  <si>
    <t>HKLM\SOFTWARE\Microsoft\Windows NT\CurrentVersion\Time Zones\Tokyo Standard Time</t>
    <phoneticPr fontId="1"/>
  </si>
  <si>
    <t>備考</t>
    <rPh sb="0" eb="2">
      <t>ビコウ</t>
    </rPh>
    <phoneticPr fontId="1"/>
  </si>
  <si>
    <t>タイムゾーンの設定値変更
HKLM\SOFTWARE\Microsoft\Windows NT\CurrentVersion\Time Zones\XXXXの下の「MUI_Display」の番号を設定</t>
    <rPh sb="7" eb="10">
      <t>セッテイチ</t>
    </rPh>
    <rPh sb="10" eb="12">
      <t>ヘンコウ</t>
    </rPh>
    <rPh sb="79" eb="80">
      <t>シタ</t>
    </rPh>
    <rPh sb="95" eb="97">
      <t>バンゴウ</t>
    </rPh>
    <rPh sb="98" eb="100">
      <t>セッテイ</t>
    </rPh>
    <phoneticPr fontId="1"/>
  </si>
  <si>
    <t>PRODUCTID_IOTDATASERVER削除</t>
    <rPh sb="23" eb="25">
      <t>サクジョ</t>
    </rPh>
    <phoneticPr fontId="1"/>
  </si>
  <si>
    <t>CIFX0ファームウェア</t>
    <phoneticPr fontId="1"/>
  </si>
  <si>
    <t>CIFX0 DeviceNet.入力スロット数</t>
    <phoneticPr fontId="1"/>
  </si>
  <si>
    <t>CIFX0 DeviceNet.出力スロット数</t>
    <phoneticPr fontId="1"/>
  </si>
  <si>
    <t>CIFX0 DeviceNet.ノードアドレス</t>
    <phoneticPr fontId="1"/>
  </si>
  <si>
    <t>CIFX0 CC_Link局番</t>
    <phoneticPr fontId="1"/>
  </si>
  <si>
    <t>CIFX0 CC_Link占有局数</t>
    <phoneticPr fontId="1"/>
  </si>
  <si>
    <t>CIFX0 EtherNet/IP IPアドレス</t>
    <phoneticPr fontId="1"/>
  </si>
  <si>
    <t>CIFX0 EtherNet/IP サブネットマスク</t>
    <phoneticPr fontId="1"/>
  </si>
  <si>
    <t>CIFX0 EtherNet/IP デフォルトゲートウェイ</t>
    <phoneticPr fontId="1"/>
  </si>
  <si>
    <t>CIFX0 EtherNet/IP 入力サイズ</t>
    <phoneticPr fontId="1"/>
  </si>
  <si>
    <t>CIFX0 EtherNet/IP 出力サイズ</t>
    <phoneticPr fontId="1"/>
  </si>
  <si>
    <t>CIFX0 EtherCAT 入力サイズ</t>
    <phoneticPr fontId="1"/>
  </si>
  <si>
    <t>CIFX0 EtherCAT 出力サイズ</t>
    <phoneticPr fontId="1"/>
  </si>
  <si>
    <t>CIFX_0_FIRMWARE</t>
    <phoneticPr fontId="1"/>
  </si>
  <si>
    <t>CIFX0 PROFIBUS 入力設定(0:8byte|1:12byte|2:16byte|3:20byte|4:32byte)</t>
    <phoneticPr fontId="1"/>
  </si>
  <si>
    <t>CIFX0 PROFIBUS 出力設定(0:8byte|1:12byte|2:16byte|3:20byte|4:32byte)</t>
    <phoneticPr fontId="1"/>
  </si>
  <si>
    <t>CIFX_0_PROFIBUS_INPUT</t>
    <phoneticPr fontId="1"/>
  </si>
  <si>
    <t>CIFX_0_PROFIBUS_OUTPUT</t>
    <phoneticPr fontId="1"/>
  </si>
  <si>
    <t>CIFX0 CC_Linkボーレート(0:156K|1:625K|2:2.5M|3:5M|4:10M)</t>
    <phoneticPr fontId="1"/>
  </si>
  <si>
    <t>CIFX_0_CCLINK_SPEED</t>
    <phoneticPr fontId="1"/>
  </si>
  <si>
    <t>CIFX_0_CCLINK_STATION_NO</t>
    <phoneticPr fontId="1"/>
  </si>
  <si>
    <t>CIFX_0_CCLINK_OCCUPIED</t>
    <phoneticPr fontId="1"/>
  </si>
  <si>
    <t>CIFX_0_CCLINK_VERSION</t>
    <phoneticPr fontId="1"/>
  </si>
  <si>
    <t>CIFX_0_CCLINK_CYCLIC</t>
    <phoneticPr fontId="1"/>
  </si>
  <si>
    <t>CIFX0 CC-Link バージョン(1:Ver1.1|2:Ver2.0)</t>
    <phoneticPr fontId="1"/>
  </si>
  <si>
    <t>CIFX0 CC-Link 拡張サイクリック設定(0:x1|1:x2|2:x4|3:x8)</t>
    <phoneticPr fontId="1"/>
  </si>
  <si>
    <t>0xc0a80001</t>
    <phoneticPr fontId="1"/>
  </si>
  <si>
    <t>0xc0a800fe</t>
    <phoneticPr fontId="1"/>
  </si>
  <si>
    <t>CIFX_0_ETHERNETIP_ADDRESS</t>
    <phoneticPr fontId="1"/>
  </si>
  <si>
    <t>CIFX_0_PROFIBUS_ADDRESS</t>
    <phoneticPr fontId="1"/>
  </si>
  <si>
    <t>CIFX0 PROFIBUS ノードアドレス</t>
    <phoneticPr fontId="1"/>
  </si>
  <si>
    <t>CIFX_0_ETHERNETIP_GATEWAY</t>
    <phoneticPr fontId="1"/>
  </si>
  <si>
    <t>CIFX_0_ETHERNETIP_SUBNETMASK</t>
    <phoneticPr fontId="1"/>
  </si>
  <si>
    <t>CIFX_0_ETHERNETIP_SPEED</t>
    <phoneticPr fontId="1"/>
  </si>
  <si>
    <t>CIFX_0_ETHERNETIP_INPUT</t>
    <phoneticPr fontId="1"/>
  </si>
  <si>
    <t>CIFX_0_ETHERNETIP_OUTPUT</t>
    <phoneticPr fontId="1"/>
  </si>
  <si>
    <t>CIFX0 EtherNet/IP 通信速度(1:Auto Negotiation|2:100M Full|3:100M Half|4:10M Full|5:10M Half)</t>
    <phoneticPr fontId="1"/>
  </si>
  <si>
    <t>CIFX_0_ETHERCAT_OUTPUT</t>
    <phoneticPr fontId="1"/>
  </si>
  <si>
    <t>CIFX_0_PROFINET_OUTPUT_1</t>
    <phoneticPr fontId="1"/>
  </si>
  <si>
    <t>CIFX_0_PROFINET_OUTPUT_3</t>
    <phoneticPr fontId="1"/>
  </si>
  <si>
    <t>CIFX_0_PROFINET_INPUT_3</t>
    <phoneticPr fontId="1"/>
  </si>
  <si>
    <t>CIFX1ファームウェア</t>
  </si>
  <si>
    <t>CIFX1 DeviceNet.入力スロット数</t>
  </si>
  <si>
    <t>CIFX1 DeviceNet.出力スロット数</t>
  </si>
  <si>
    <t>CIFX1 DeviceNet.ノードアドレス</t>
  </si>
  <si>
    <t>CIFX1 DeviceNet.通信速度(0:125KB|1:250KB|2:500KB)</t>
  </si>
  <si>
    <t>CIFX1 PROFIBUS ノードアドレス</t>
  </si>
  <si>
    <t>CIFX1 PROFIBUS 入力設定(0:8byte|1:12byte|2:16byte|3:20byte|4:32byte)</t>
  </si>
  <si>
    <t>CIFX1 PROFIBUS 出力設定(0:8byte|1:12byte|2:16byte|3:20byte|4:32byte)</t>
  </si>
  <si>
    <t>CIFX1 CC_Linkボーレート(0:156K|1:625K|2:2.5M|3:5M|4:10M)</t>
  </si>
  <si>
    <t>CIFX1 CC_Link局番</t>
  </si>
  <si>
    <t>CIFX1 CC_Link占有局数</t>
  </si>
  <si>
    <t>CIFX1 CC-Link バージョン(1:Ver1.1|2:Ver2.0)</t>
  </si>
  <si>
    <t>CIFX1 CC-Link 拡張サイクリック設定(0:x1|1:x2|2:x4|3:x8)</t>
  </si>
  <si>
    <t>CIFX1 EtherNet/IP IPアドレス</t>
  </si>
  <si>
    <t>CIFX1 EtherNet/IP サブネットマスク</t>
  </si>
  <si>
    <t>CIFX1 EtherNet/IP デフォルトゲートウェイ</t>
  </si>
  <si>
    <t>CIFX1 EtherNet/IP 通信速度(1:Auto Negotiation|2:100M Full|3:100M Half|4:10M Full|5:10M Half)</t>
  </si>
  <si>
    <t>CIFX1 EtherNet/IP 入力サイズ</t>
  </si>
  <si>
    <t>CIFX1 EtherNet/IP 出力サイズ</t>
  </si>
  <si>
    <t>CIFX1 EtherCAT 入力サイズ</t>
  </si>
  <si>
    <t>CIFX1 EtherCAT 出力サイズ</t>
  </si>
  <si>
    <t>CIFX1 EtherCAT Station Address (0:自動, 0以外:固定)</t>
  </si>
  <si>
    <t>CIFX1 PROFINET パラメータ</t>
  </si>
  <si>
    <t>CIFX_1_FIRMWARE</t>
  </si>
  <si>
    <t>CIFX_1_DN_IN_SLOT</t>
  </si>
  <si>
    <t>CIFX_1_DN_OUT_SLOT</t>
  </si>
  <si>
    <t>CIFX_1_DN_MAC_ID</t>
  </si>
  <si>
    <t>CIFX_1_DN_BIT_RATE</t>
  </si>
  <si>
    <t>CIFX_1_PROFIBUS_ADDRESS</t>
  </si>
  <si>
    <t>CIFX_1_PROFIBUS_INPUT</t>
  </si>
  <si>
    <t>CIFX_1_PROFIBUS_OUTPUT</t>
  </si>
  <si>
    <t>CIFX_1_CCLINK_SPEED</t>
  </si>
  <si>
    <t>CIFX_1_CCLINK_STATION_NO</t>
  </si>
  <si>
    <t>CIFX_1_CCLINK_OCCUPIED</t>
  </si>
  <si>
    <t>CIFX_1_CCLINK_VERSION</t>
  </si>
  <si>
    <t>CIFX_1_CCLINK_CYCLIC</t>
  </si>
  <si>
    <t>CIFX_1_ETHERNETIP_ADDRESS</t>
  </si>
  <si>
    <t>CIFX_1_ETHERNETIP_SUBNETMASK</t>
  </si>
  <si>
    <t>CIFX_1_ETHERNETIP_GATEWAY</t>
  </si>
  <si>
    <t>CIFX_1_ETHERNETIP_SPEED</t>
  </si>
  <si>
    <t>CIFX_1_ETHERNETIP_INPUT</t>
  </si>
  <si>
    <t>CIFX_1_ETHERNETIP_OUTPUT</t>
  </si>
  <si>
    <t>CIFX_1_ETHERCAT_INPUT</t>
  </si>
  <si>
    <t>CIFX_1_ETHERCAT_OUTPUT</t>
  </si>
  <si>
    <t>CIFX_1_ETHERCAT_ADDRESSS</t>
  </si>
  <si>
    <t>CIFX_1_PROFINET_OUTPUT_1</t>
  </si>
  <si>
    <t>CIFX_1_PROFINET_OUTPUT_2</t>
  </si>
  <si>
    <t>CIFX_1_PROFINET_OUTPUT_3</t>
  </si>
  <si>
    <t>CIFX_1_PROFINET_OUTPUT_4</t>
  </si>
  <si>
    <t>CIFX_1_PROFINET_INPUT_1</t>
  </si>
  <si>
    <t>CIFX_1_PROFINET_INPUT_2</t>
  </si>
  <si>
    <t>CIFX_1_PROFINET_INPUT_3</t>
  </si>
  <si>
    <t>CIFX_1_PROFINET_INPUT_4</t>
  </si>
  <si>
    <t>CIFX_1_PROFINET_PARAMETER</t>
  </si>
  <si>
    <t>CIFX_2_FIRMWARE</t>
  </si>
  <si>
    <t>CIFX_2_DN_IN_SLOT</t>
  </si>
  <si>
    <t>CIFX_2_DN_OUT_SLOT</t>
  </si>
  <si>
    <t>CIFX_2_DN_MAC_ID</t>
  </si>
  <si>
    <t>CIFX_2_DN_BIT_RATE</t>
  </si>
  <si>
    <t>CIFX_2_PROFIBUS_ADDRESS</t>
  </si>
  <si>
    <t>CIFX_2_PROFIBUS_INPUT</t>
  </si>
  <si>
    <t>CIFX_2_PROFIBUS_OUTPUT</t>
  </si>
  <si>
    <t>CIFX_2_CCLINK_SPEED</t>
  </si>
  <si>
    <t>CIFX_2_CCLINK_STATION_NO</t>
  </si>
  <si>
    <t>CIFX_2_CCLINK_OCCUPIED</t>
  </si>
  <si>
    <t>CIFX_2_CCLINK_VERSION</t>
  </si>
  <si>
    <t>CIFX_2_CCLINK_CYCLIC</t>
  </si>
  <si>
    <t>CIFX_2_ETHERNETIP_ADDRESS</t>
  </si>
  <si>
    <t>CIFX_2_ETHERNETIP_SUBNETMASK</t>
  </si>
  <si>
    <t>CIFX_2_ETHERNETIP_GATEWAY</t>
  </si>
  <si>
    <t>CIFX_2_ETHERNETIP_SPEED</t>
  </si>
  <si>
    <t>CIFX_2_ETHERNETIP_INPUT</t>
  </si>
  <si>
    <t>CIFX_2_ETHERNETIP_OUTPUT</t>
  </si>
  <si>
    <t>CIFX_2_ETHERCAT_INPUT</t>
  </si>
  <si>
    <t>CIFX_2_ETHERCAT_OUTPUT</t>
  </si>
  <si>
    <t>CIFX_2_ETHERCAT_ADDRESSS</t>
  </si>
  <si>
    <t>CIFX_2_PROFINET_OUTPUT_1</t>
  </si>
  <si>
    <t>CIFX_2_PROFINET_OUTPUT_2</t>
  </si>
  <si>
    <t>CIFX_2_PROFINET_OUTPUT_3</t>
  </si>
  <si>
    <t>CIFX_2_PROFINET_OUTPUT_4</t>
  </si>
  <si>
    <t>CIFX_2_PROFINET_INPUT_1</t>
  </si>
  <si>
    <t>CIFX_2_PROFINET_INPUT_2</t>
  </si>
  <si>
    <t>CIFX_2_PROFINET_INPUT_3</t>
  </si>
  <si>
    <t>CIFX_2_PROFINET_INPUT_4</t>
  </si>
  <si>
    <t>CIFX_2_PROFINET_PARAMETER</t>
  </si>
  <si>
    <t>CIFX2ファームウェア</t>
  </si>
  <si>
    <t>CIFX2 DeviceNet.入力スロット数</t>
  </si>
  <si>
    <t>CIFX2 DeviceNet.出力スロット数</t>
  </si>
  <si>
    <t>CIFX2 DeviceNet.ノードアドレス</t>
  </si>
  <si>
    <t>CIFX2 DeviceNet.通信速度(0:125KB|1:250KB|2:500KB)</t>
  </si>
  <si>
    <t>CIFX2 PROFIBUS ノードアドレス</t>
  </si>
  <si>
    <t>CIFX2 PROFIBUS 入力設定(0:8byte|1:12byte|2:16byte|3:20byte|4:32byte)</t>
  </si>
  <si>
    <t>CIFX2 PROFIBUS 出力設定(0:8byte|1:12byte|2:16byte|3:20byte|4:32byte)</t>
  </si>
  <si>
    <t>CIFX2 CC_Linkボーレート(0:156K|1:625K|2:2.5M|3:5M|4:10M)</t>
  </si>
  <si>
    <t>CIFX2 CC_Link局番</t>
  </si>
  <si>
    <t>CIFX2 CC_Link占有局数</t>
  </si>
  <si>
    <t>CIFX2 CC-Link バージョン(1:Ver1.1|2:Ver2.0)</t>
  </si>
  <si>
    <t>CIFX2 CC-Link 拡張サイクリック設定(0:x1|1:x2|2:x4|3:x8)</t>
  </si>
  <si>
    <t>CIFX2 EtherNet/IP IPアドレス</t>
  </si>
  <si>
    <t>CIFX2 EtherNet/IP サブネットマスク</t>
  </si>
  <si>
    <t>CIFX2 EtherNet/IP デフォルトゲートウェイ</t>
  </si>
  <si>
    <t>CIFX2 EtherNet/IP 通信速度(1:Auto Negotiation|2:100M Full|3:100M Half|4:10M Full|5:10M Half)</t>
  </si>
  <si>
    <t>CIFX2 EtherNet/IP 入力サイズ</t>
  </si>
  <si>
    <t>CIFX2 EtherNet/IP 出力サイズ</t>
  </si>
  <si>
    <t>CIFX2 EtherCAT 入力サイズ</t>
  </si>
  <si>
    <t>CIFX2 EtherCAT 出力サイズ</t>
  </si>
  <si>
    <t>CIFX2 EtherCAT Station Address (0:自動, 0以外:固定)</t>
  </si>
  <si>
    <t>CIFX2 PROFINET パラメータ</t>
  </si>
  <si>
    <t>CIFX3ファームウェア</t>
  </si>
  <si>
    <t>CIFX3 DeviceNet.入力スロット数</t>
  </si>
  <si>
    <t>CIFX3 DeviceNet.出力スロット数</t>
  </si>
  <si>
    <t>CIFX3 DeviceNet.ノードアドレス</t>
  </si>
  <si>
    <t>CIFX3 DeviceNet.通信速度(0:125KB|1:250KB|2:500KB)</t>
  </si>
  <si>
    <t>CIFX3 PROFIBUS ノードアドレス</t>
  </si>
  <si>
    <t>CIFX3 PROFIBUS 入力設定(0:8byte|1:12byte|2:16byte|3:20byte|4:32byte)</t>
  </si>
  <si>
    <t>CIFX3 PROFIBUS 出力設定(0:8byte|1:12byte|2:16byte|3:20byte|4:32byte)</t>
  </si>
  <si>
    <t>CIFX3 CC_Linkボーレート(0:156K|1:625K|2:2.5M|3:5M|4:10M)</t>
  </si>
  <si>
    <t>CIFX3 CC_Link局番</t>
  </si>
  <si>
    <t>CIFX3 CC_Link占有局数</t>
  </si>
  <si>
    <t>CIFX3 CC-Link バージョン(1:Ver1.1|2:Ver2.0)</t>
  </si>
  <si>
    <t>CIFX3 CC-Link 拡張サイクリック設定(0:x1|1:x2|2:x4|3:x8)</t>
  </si>
  <si>
    <t>CIFX3 EtherNet/IP IPアドレス</t>
  </si>
  <si>
    <t>CIFX3 EtherNet/IP サブネットマスク</t>
  </si>
  <si>
    <t>CIFX3 EtherNet/IP デフォルトゲートウェイ</t>
  </si>
  <si>
    <t>CIFX3 EtherNet/IP 通信速度(1:Auto Negotiation|2:100M Full|3:100M Half|4:10M Full|5:10M Half)</t>
  </si>
  <si>
    <t>CIFX3 EtherNet/IP 入力サイズ</t>
  </si>
  <si>
    <t>CIFX3 EtherNet/IP 出力サイズ</t>
  </si>
  <si>
    <t>CIFX3 EtherCAT 入力サイズ</t>
  </si>
  <si>
    <t>CIFX3 EtherCAT 出力サイズ</t>
  </si>
  <si>
    <t>CIFX3 EtherCAT Station Address (0:自動, 0以外:固定)</t>
  </si>
  <si>
    <t>CIFX3 PROFINET パラメータ</t>
  </si>
  <si>
    <t>CIFX_3_FIRMWARE</t>
  </si>
  <si>
    <t>CIFX_3_DN_IN_SLOT</t>
  </si>
  <si>
    <t>CIFX_3_DN_OUT_SLOT</t>
  </si>
  <si>
    <t>CIFX_3_DN_MAC_ID</t>
  </si>
  <si>
    <t>CIFX_3_DN_BIT_RATE</t>
  </si>
  <si>
    <t>CIFX_3_PROFIBUS_ADDRESS</t>
  </si>
  <si>
    <t>CIFX_3_PROFIBUS_INPUT</t>
  </si>
  <si>
    <t>CIFX_3_PROFIBUS_OUTPUT</t>
  </si>
  <si>
    <t>CIFX_3_CCLINK_SPEED</t>
  </si>
  <si>
    <t>CIFX_3_CCLINK_STATION_NO</t>
  </si>
  <si>
    <t>CIFX_3_CCLINK_OCCUPIED</t>
  </si>
  <si>
    <t>CIFX_3_CCLINK_VERSION</t>
  </si>
  <si>
    <t>CIFX_3_CCLINK_CYCLIC</t>
  </si>
  <si>
    <t>CIFX_3_ETHERNETIP_ADDRESS</t>
  </si>
  <si>
    <t>CIFX_3_ETHERNETIP_SUBNETMASK</t>
  </si>
  <si>
    <t>CIFX_3_ETHERNETIP_GATEWAY</t>
  </si>
  <si>
    <t>CIFX_3_ETHERNETIP_SPEED</t>
  </si>
  <si>
    <t>CIFX_3_ETHERNETIP_INPUT</t>
  </si>
  <si>
    <t>CIFX_3_ETHERNETIP_OUTPUT</t>
  </si>
  <si>
    <t>CIFX_3_ETHERCAT_INPUT</t>
  </si>
  <si>
    <t>CIFX_3_ETHERCAT_OUTPUT</t>
  </si>
  <si>
    <t>CIFX_3_ETHERCAT_ADDRESSS</t>
  </si>
  <si>
    <t>CIFX_3_PROFINET_OUTPUT_1</t>
  </si>
  <si>
    <t>CIFX_3_PROFINET_OUTPUT_2</t>
  </si>
  <si>
    <t>CIFX_3_PROFINET_OUTPUT_3</t>
  </si>
  <si>
    <t>CIFX_3_PROFINET_OUTPUT_4</t>
  </si>
  <si>
    <t>CIFX_3_PROFINET_INPUT_1</t>
  </si>
  <si>
    <t>CIFX_3_PROFINET_INPUT_2</t>
  </si>
  <si>
    <t>CIFX_3_PROFINET_INPUT_3</t>
  </si>
  <si>
    <t>CIFX_3_PROFINET_INPUT_4</t>
  </si>
  <si>
    <t>CIFX_3_PROFINET_PARAMETER</t>
  </si>
  <si>
    <t>CIFX_4_FIRMWARE</t>
  </si>
  <si>
    <t>CIFX_4_DN_IN_SLOT</t>
  </si>
  <si>
    <t>CIFX_4_DN_OUT_SLOT</t>
  </si>
  <si>
    <t>CIFX_4_DN_MAC_ID</t>
  </si>
  <si>
    <t>CIFX_4_DN_BIT_RATE</t>
  </si>
  <si>
    <t>CIFX_4_PROFIBUS_ADDRESS</t>
  </si>
  <si>
    <t>CIFX_4_PROFIBUS_INPUT</t>
  </si>
  <si>
    <t>CIFX_4_PROFIBUS_OUTPUT</t>
  </si>
  <si>
    <t>CIFX_4_CCLINK_SPEED</t>
  </si>
  <si>
    <t>CIFX_4_CCLINK_STATION_NO</t>
  </si>
  <si>
    <t>CIFX_4_CCLINK_OCCUPIED</t>
  </si>
  <si>
    <t>CIFX_4_CCLINK_VERSION</t>
  </si>
  <si>
    <t>CIFX_4_CCLINK_CYCLIC</t>
  </si>
  <si>
    <t>CIFX_4_ETHERNETIP_ADDRESS</t>
  </si>
  <si>
    <t>CIFX_4_ETHERNETIP_SUBNETMASK</t>
  </si>
  <si>
    <t>CIFX_4_ETHERNETIP_GATEWAY</t>
  </si>
  <si>
    <t>CIFX_4_ETHERNETIP_SPEED</t>
  </si>
  <si>
    <t>CIFX_4_ETHERNETIP_INPUT</t>
  </si>
  <si>
    <t>CIFX_4_ETHERNETIP_OUTPUT</t>
  </si>
  <si>
    <t>CIFX_4_ETHERCAT_INPUT</t>
  </si>
  <si>
    <t>CIFX_4_ETHERCAT_OUTPUT</t>
  </si>
  <si>
    <t>CIFX_4_ETHERCAT_ADDRESSS</t>
  </si>
  <si>
    <t>CIFX_4_PROFINET_OUTPUT_1</t>
  </si>
  <si>
    <t>CIFX_4_PROFINET_OUTPUT_2</t>
  </si>
  <si>
    <t>CIFX_4_PROFINET_OUTPUT_3</t>
  </si>
  <si>
    <t>CIFX_4_PROFINET_OUTPUT_4</t>
  </si>
  <si>
    <t>CIFX_4_PROFINET_INPUT_1</t>
  </si>
  <si>
    <t>CIFX_4_PROFINET_INPUT_2</t>
  </si>
  <si>
    <t>CIFX_4_PROFINET_INPUT_3</t>
  </si>
  <si>
    <t>CIFX_4_PROFINET_INPUT_4</t>
  </si>
  <si>
    <t>CIFX_4_PROFINET_PARAMETER</t>
  </si>
  <si>
    <t>CIFX4ファームウェア</t>
  </si>
  <si>
    <t>CIFX4 DeviceNet.入力スロット数</t>
  </si>
  <si>
    <t>CIFX4 DeviceNet.出力スロット数</t>
  </si>
  <si>
    <t>CIFX4 DeviceNet.ノードアドレス</t>
  </si>
  <si>
    <t>CIFX4 DeviceNet.通信速度(0:125KB|1:250KB|2:500KB)</t>
  </si>
  <si>
    <t>CIFX4 PROFIBUS ノードアドレス</t>
  </si>
  <si>
    <t>CIFX4 PROFIBUS 入力設定(0:8byte|1:12byte|2:16byte|3:20byte|4:32byte)</t>
  </si>
  <si>
    <t>CIFX4 PROFIBUS 出力設定(0:8byte|1:12byte|2:16byte|3:20byte|4:32byte)</t>
  </si>
  <si>
    <t>CIFX4 CC_Linkボーレート(0:156K|1:625K|2:2.5M|3:5M|4:10M)</t>
  </si>
  <si>
    <t>CIFX4 CC_Link局番</t>
  </si>
  <si>
    <t>CIFX4 CC_Link占有局数</t>
  </si>
  <si>
    <t>CIFX4 CC-Link バージョン(1:Ver1.1|2:Ver2.0)</t>
  </si>
  <si>
    <t>CIFX4 CC-Link 拡張サイクリック設定(0:x1|1:x2|2:x4|3:x8)</t>
  </si>
  <si>
    <t>CIFX4 EtherNet/IP IPアドレス</t>
  </si>
  <si>
    <t>CIFX4 EtherNet/IP サブネットマスク</t>
  </si>
  <si>
    <t>CIFX4 EtherNet/IP デフォルトゲートウェイ</t>
  </si>
  <si>
    <t>CIFX4 EtherNet/IP 通信速度(1:Auto Negotiation|2:100M Full|3:100M Half|4:10M Full|5:10M Half)</t>
  </si>
  <si>
    <t>CIFX4 EtherNet/IP 入力サイズ</t>
  </si>
  <si>
    <t>CIFX4 EtherNet/IP 出力サイズ</t>
  </si>
  <si>
    <t>CIFX4 EtherCAT 入力サイズ</t>
  </si>
  <si>
    <t>CIFX4 EtherCAT 出力サイズ</t>
  </si>
  <si>
    <t>CIFX4 EtherCAT Station Address (0:自動, 0以外:固定)</t>
  </si>
  <si>
    <t>CIFX4 PROFINET パラメータ</t>
  </si>
  <si>
    <t>CIFX5ファームウェア</t>
  </si>
  <si>
    <t>CIFX5 DeviceNet.入力スロット数</t>
  </si>
  <si>
    <t>CIFX5 DeviceNet.出力スロット数</t>
  </si>
  <si>
    <t>CIFX5 DeviceNet.ノードアドレス</t>
  </si>
  <si>
    <t>CIFX5 DeviceNet.通信速度(0:125KB|1:250KB|2:500KB)</t>
  </si>
  <si>
    <t>CIFX5 PROFIBUS ノードアドレス</t>
  </si>
  <si>
    <t>CIFX5 PROFIBUS 入力設定(0:8byte|1:12byte|2:16byte|3:20byte|4:32byte)</t>
  </si>
  <si>
    <t>CIFX5 PROFIBUS 出力設定(0:8byte|1:12byte|2:16byte|3:20byte|4:32byte)</t>
  </si>
  <si>
    <t>CIFX5 CC_Linkボーレート(0:156K|1:625K|2:2.5M|3:5M|4:10M)</t>
  </si>
  <si>
    <t>CIFX5 CC_Link局番</t>
  </si>
  <si>
    <t>CIFX5 CC_Link占有局数</t>
  </si>
  <si>
    <t>CIFX5 CC-Link バージョン(1:Ver1.1|2:Ver2.0)</t>
  </si>
  <si>
    <t>CIFX5 CC-Link 拡張サイクリック設定(0:x1|1:x2|2:x4|3:x8)</t>
  </si>
  <si>
    <t>CIFX5 EtherNet/IP IPアドレス</t>
  </si>
  <si>
    <t>CIFX5 EtherNet/IP サブネットマスク</t>
  </si>
  <si>
    <t>CIFX5 EtherNet/IP デフォルトゲートウェイ</t>
  </si>
  <si>
    <t>CIFX5 EtherNet/IP 通信速度(1:Auto Negotiation|2:100M Full|3:100M Half|4:10M Full|5:10M Half)</t>
  </si>
  <si>
    <t>CIFX5 EtherNet/IP 入力サイズ</t>
  </si>
  <si>
    <t>CIFX5 EtherNet/IP 出力サイズ</t>
  </si>
  <si>
    <t>CIFX5 EtherCAT 入力サイズ</t>
  </si>
  <si>
    <t>CIFX5 EtherCAT 出力サイズ</t>
  </si>
  <si>
    <t>CIFX5 EtherCAT Station Address (0:自動, 0以外:固定)</t>
  </si>
  <si>
    <t>CIFX5 PROFINET パラメータ</t>
  </si>
  <si>
    <t>CIFX_5_FIRMWARE</t>
  </si>
  <si>
    <t>CIFX_5_DN_IN_SLOT</t>
  </si>
  <si>
    <t>CIFX_5_DN_OUT_SLOT</t>
  </si>
  <si>
    <t>CIFX_5_DN_MAC_ID</t>
  </si>
  <si>
    <t>CIFX_5_DN_BIT_RATE</t>
  </si>
  <si>
    <t>CIFX_5_PROFIBUS_ADDRESS</t>
  </si>
  <si>
    <t>CIFX_5_PROFIBUS_INPUT</t>
  </si>
  <si>
    <t>CIFX_5_PROFIBUS_OUTPUT</t>
  </si>
  <si>
    <t>CIFX_5_CCLINK_SPEED</t>
  </si>
  <si>
    <t>CIFX_5_CCLINK_STATION_NO</t>
  </si>
  <si>
    <t>CIFX_5_CCLINK_OCCUPIED</t>
  </si>
  <si>
    <t>CIFX_5_CCLINK_VERSION</t>
  </si>
  <si>
    <t>CIFX_5_CCLINK_CYCLIC</t>
  </si>
  <si>
    <t>CIFX_5_ETHERNETIP_ADDRESS</t>
  </si>
  <si>
    <t>CIFX_5_ETHERNETIP_SUBNETMASK</t>
  </si>
  <si>
    <t>CIFX_5_ETHERNETIP_GATEWAY</t>
  </si>
  <si>
    <t>CIFX_5_ETHERNETIP_SPEED</t>
  </si>
  <si>
    <t>CIFX_5_ETHERNETIP_INPUT</t>
  </si>
  <si>
    <t>CIFX_5_ETHERNETIP_OUTPUT</t>
  </si>
  <si>
    <t>CIFX_5_ETHERCAT_INPUT</t>
  </si>
  <si>
    <t>CIFX_5_ETHERCAT_OUTPUT</t>
  </si>
  <si>
    <t>CIFX_5_ETHERCAT_ADDRESSS</t>
  </si>
  <si>
    <t>CIFX_5_PROFINET_OUTPUT_1</t>
  </si>
  <si>
    <t>CIFX_5_PROFINET_OUTPUT_2</t>
  </si>
  <si>
    <t>CIFX_5_PROFINET_OUTPUT_3</t>
  </si>
  <si>
    <t>CIFX_5_PROFINET_OUTPUT_4</t>
  </si>
  <si>
    <t>CIFX_5_PROFINET_INPUT_1</t>
  </si>
  <si>
    <t>CIFX_5_PROFINET_INPUT_2</t>
  </si>
  <si>
    <t>CIFX_5_PROFINET_INPUT_3</t>
  </si>
  <si>
    <t>CIFX_5_PROFINET_INPUT_4</t>
  </si>
  <si>
    <t>CIFX_5_PROFINET_PARAMETER</t>
  </si>
  <si>
    <t>CIFX_6_FIRMWARE</t>
  </si>
  <si>
    <t>CIFX_6_DN_IN_SLOT</t>
  </si>
  <si>
    <t>CIFX_6_DN_OUT_SLOT</t>
  </si>
  <si>
    <t>CIFX_6_DN_MAC_ID</t>
  </si>
  <si>
    <t>CIFX_6_DN_BIT_RATE</t>
  </si>
  <si>
    <t>CIFX_6_PROFIBUS_ADDRESS</t>
  </si>
  <si>
    <t>CIFX_6_PROFIBUS_INPUT</t>
  </si>
  <si>
    <t>CIFX_6_PROFIBUS_OUTPUT</t>
  </si>
  <si>
    <t>CIFX_6_CCLINK_SPEED</t>
  </si>
  <si>
    <t>CIFX_6_CCLINK_STATION_NO</t>
  </si>
  <si>
    <t>CIFX_6_CCLINK_OCCUPIED</t>
  </si>
  <si>
    <t>CIFX_6_CCLINK_VERSION</t>
  </si>
  <si>
    <t>CIFX_6_CCLINK_CYCLIC</t>
  </si>
  <si>
    <t>CIFX_6_ETHERNETIP_ADDRESS</t>
  </si>
  <si>
    <t>CIFX_6_ETHERNETIP_SUBNETMASK</t>
  </si>
  <si>
    <t>CIFX_6_ETHERNETIP_GATEWAY</t>
  </si>
  <si>
    <t>CIFX_6_ETHERNETIP_SPEED</t>
  </si>
  <si>
    <t>CIFX_6_ETHERNETIP_INPUT</t>
  </si>
  <si>
    <t>CIFX_6_ETHERNETIP_OUTPUT</t>
  </si>
  <si>
    <t>CIFX_6_ETHERCAT_INPUT</t>
  </si>
  <si>
    <t>CIFX_6_ETHERCAT_OUTPUT</t>
  </si>
  <si>
    <t>CIFX_6_ETHERCAT_ADDRESSS</t>
  </si>
  <si>
    <t>CIFX_6_PROFINET_OUTPUT_1</t>
  </si>
  <si>
    <t>CIFX_6_PROFINET_OUTPUT_2</t>
  </si>
  <si>
    <t>CIFX_6_PROFINET_OUTPUT_3</t>
  </si>
  <si>
    <t>CIFX_6_PROFINET_OUTPUT_4</t>
  </si>
  <si>
    <t>CIFX_6_PROFINET_INPUT_1</t>
  </si>
  <si>
    <t>CIFX_6_PROFINET_INPUT_2</t>
  </si>
  <si>
    <t>CIFX_6_PROFINET_INPUT_3</t>
  </si>
  <si>
    <t>CIFX_6_PROFINET_INPUT_4</t>
  </si>
  <si>
    <t>CIFX_6_PROFINET_PARAMETER</t>
  </si>
  <si>
    <t>CIFX6ファームウェア</t>
  </si>
  <si>
    <t>CIFX6 DeviceNet.入力スロット数</t>
  </si>
  <si>
    <t>CIFX6 DeviceNet.出力スロット数</t>
  </si>
  <si>
    <t>CIFX6 DeviceNet.ノードアドレス</t>
  </si>
  <si>
    <t>CIFX6 DeviceNet.通信速度(0:125KB|1:250KB|2:500KB)</t>
  </si>
  <si>
    <t>CIFX6 PROFIBUS ノードアドレス</t>
  </si>
  <si>
    <t>CIFX6 PROFIBUS 入力設定(0:8byte|1:12byte|2:16byte|3:20byte|4:32byte)</t>
  </si>
  <si>
    <t>CIFX6 PROFIBUS 出力設定(0:8byte|1:12byte|2:16byte|3:20byte|4:32byte)</t>
  </si>
  <si>
    <t>CIFX6 CC_Linkボーレート(0:156K|1:625K|2:2.5M|3:5M|4:10M)</t>
  </si>
  <si>
    <t>CIFX6 CC_Link局番</t>
  </si>
  <si>
    <t>CIFX6 CC_Link占有局数</t>
  </si>
  <si>
    <t>CIFX6 CC-Link バージョン(1:Ver1.1|2:Ver2.0)</t>
  </si>
  <si>
    <t>CIFX6 CC-Link 拡張サイクリック設定(0:x1|1:x2|2:x4|3:x8)</t>
  </si>
  <si>
    <t>CIFX6 EtherNet/IP IPアドレス</t>
  </si>
  <si>
    <t>CIFX6 EtherNet/IP サブネットマスク</t>
  </si>
  <si>
    <t>CIFX6 EtherNet/IP デフォルトゲートウェイ</t>
  </si>
  <si>
    <t>CIFX6 EtherNet/IP 通信速度(1:Auto Negotiation|2:100M Full|3:100M Half|4:10M Full|5:10M Half)</t>
  </si>
  <si>
    <t>CIFX6 EtherNet/IP 入力サイズ</t>
  </si>
  <si>
    <t>CIFX6 EtherNet/IP 出力サイズ</t>
  </si>
  <si>
    <t>CIFX6 EtherCAT 入力サイズ</t>
  </si>
  <si>
    <t>CIFX6 EtherCAT 出力サイズ</t>
  </si>
  <si>
    <t>CIFX6 EtherCAT Station Address (0:自動, 0以外:固定)</t>
  </si>
  <si>
    <t>CIFX6 PROFINET パラメータ</t>
  </si>
  <si>
    <t>CIFX7ファームウェア</t>
  </si>
  <si>
    <t>CIFX7 DeviceNet.入力スロット数</t>
  </si>
  <si>
    <t>CIFX7 DeviceNet.出力スロット数</t>
  </si>
  <si>
    <t>CIFX7 DeviceNet.ノードアドレス</t>
  </si>
  <si>
    <t>CIFX7 DeviceNet.通信速度(0:125KB|1:250KB|2:500KB)</t>
  </si>
  <si>
    <t>CIFX7 PROFIBUS ノードアドレス</t>
  </si>
  <si>
    <t>CIFX7 PROFIBUS 入力設定(0:8byte|1:12byte|2:16byte|3:20byte|4:32byte)</t>
  </si>
  <si>
    <t>CIFX7 PROFIBUS 出力設定(0:8byte|1:12byte|2:16byte|3:20byte|4:32byte)</t>
  </si>
  <si>
    <t>CIFX7 CC_Linkボーレート(0:156K|1:625K|2:2.5M|3:5M|4:10M)</t>
  </si>
  <si>
    <t>CIFX7 CC_Link局番</t>
  </si>
  <si>
    <t>CIFX7 CC_Link占有局数</t>
  </si>
  <si>
    <t>CIFX7 CC-Link バージョン(1:Ver1.1|2:Ver2.0)</t>
  </si>
  <si>
    <t>CIFX7 CC-Link 拡張サイクリック設定(0:x1|1:x2|2:x4|3:x8)</t>
  </si>
  <si>
    <t>CIFX7 EtherNet/IP IPアドレス</t>
  </si>
  <si>
    <t>CIFX7 EtherNet/IP サブネットマスク</t>
  </si>
  <si>
    <t>CIFX7 EtherNet/IP デフォルトゲートウェイ</t>
  </si>
  <si>
    <t>CIFX7 EtherNet/IP 通信速度(1:Auto Negotiation|2:100M Full|3:100M Half|4:10M Full|5:10M Half)</t>
  </si>
  <si>
    <t>CIFX7 EtherNet/IP 入力サイズ</t>
  </si>
  <si>
    <t>CIFX7 EtherNet/IP 出力サイズ</t>
  </si>
  <si>
    <t>CIFX7 EtherCAT 入力サイズ</t>
  </si>
  <si>
    <t>CIFX7 EtherCAT 出力サイズ</t>
  </si>
  <si>
    <t>CIFX7 EtherCAT Station Address (0:自動, 0以外:固定)</t>
  </si>
  <si>
    <t>CIFX7 PROFINET パラメータ</t>
  </si>
  <si>
    <t>CIFX_7_FIRMWARE</t>
  </si>
  <si>
    <t>CIFX_7_DN_IN_SLOT</t>
  </si>
  <si>
    <t>CIFX_7_DN_OUT_SLOT</t>
  </si>
  <si>
    <t>CIFX_7_DN_MAC_ID</t>
  </si>
  <si>
    <t>CIFX_7_DN_BIT_RATE</t>
  </si>
  <si>
    <t>CIFX_7_PROFIBUS_ADDRESS</t>
  </si>
  <si>
    <t>CIFX_7_PROFIBUS_INPUT</t>
  </si>
  <si>
    <t>CIFX_7_PROFIBUS_OUTPUT</t>
  </si>
  <si>
    <t>CIFX_7_CCLINK_SPEED</t>
  </si>
  <si>
    <t>CIFX_7_CCLINK_STATION_NO</t>
  </si>
  <si>
    <t>CIFX_7_CCLINK_OCCUPIED</t>
  </si>
  <si>
    <t>CIFX_7_CCLINK_VERSION</t>
  </si>
  <si>
    <t>CIFX_7_CCLINK_CYCLIC</t>
  </si>
  <si>
    <t>CIFX_7_ETHERNETIP_ADDRESS</t>
  </si>
  <si>
    <t>CIFX_7_ETHERNETIP_SUBNETMASK</t>
  </si>
  <si>
    <t>CIFX_7_ETHERNETIP_GATEWAY</t>
  </si>
  <si>
    <t>CIFX_7_ETHERNETIP_SPEED</t>
  </si>
  <si>
    <t>CIFX_7_ETHERNETIP_INPUT</t>
  </si>
  <si>
    <t>CIFX_7_ETHERNETIP_OUTPUT</t>
  </si>
  <si>
    <t>CIFX_7_ETHERCAT_INPUT</t>
  </si>
  <si>
    <t>CIFX_7_ETHERCAT_OUTPUT</t>
  </si>
  <si>
    <t>CIFX_7_ETHERCAT_ADDRESSS</t>
  </si>
  <si>
    <t>CIFX_7_PROFINET_OUTPUT_1</t>
  </si>
  <si>
    <t>CIFX_7_PROFINET_OUTPUT_2</t>
  </si>
  <si>
    <t>CIFX_7_PROFINET_OUTPUT_3</t>
  </si>
  <si>
    <t>CIFX_7_PROFINET_OUTPUT_4</t>
  </si>
  <si>
    <t>CIFX_7_PROFINET_INPUT_1</t>
  </si>
  <si>
    <t>CIFX_7_PROFINET_INPUT_2</t>
  </si>
  <si>
    <t>CIFX_7_PROFINET_INPUT_3</t>
  </si>
  <si>
    <t>CIFX_7_PROFINET_INPUT_4</t>
  </si>
  <si>
    <t>CIFX_7_PROFINET_PARAMETER</t>
  </si>
  <si>
    <t>CIFX_8_FIRMWARE</t>
  </si>
  <si>
    <t>CIFX_8_DN_IN_SLOT</t>
  </si>
  <si>
    <t>CIFX_8_DN_OUT_SLOT</t>
  </si>
  <si>
    <t>CIFX_8_DN_MAC_ID</t>
  </si>
  <si>
    <t>CIFX_8_DN_BIT_RATE</t>
  </si>
  <si>
    <t>CIFX_8_PROFIBUS_ADDRESS</t>
  </si>
  <si>
    <t>CIFX_8_PROFIBUS_INPUT</t>
  </si>
  <si>
    <t>CIFX_8_PROFIBUS_OUTPUT</t>
  </si>
  <si>
    <t>CIFX_8_CCLINK_SPEED</t>
  </si>
  <si>
    <t>CIFX_8_CCLINK_STATION_NO</t>
  </si>
  <si>
    <t>CIFX_8_CCLINK_OCCUPIED</t>
  </si>
  <si>
    <t>CIFX_8_CCLINK_VERSION</t>
  </si>
  <si>
    <t>CIFX_8_CCLINK_CYCLIC</t>
  </si>
  <si>
    <t>CIFX_8_ETHERNETIP_ADDRESS</t>
  </si>
  <si>
    <t>CIFX_8_ETHERNETIP_SUBNETMASK</t>
  </si>
  <si>
    <t>CIFX_8_ETHERNETIP_GATEWAY</t>
  </si>
  <si>
    <t>CIFX_8_ETHERNETIP_SPEED</t>
  </si>
  <si>
    <t>CIFX_8_ETHERNETIP_INPUT</t>
  </si>
  <si>
    <t>CIFX_8_ETHERNETIP_OUTPUT</t>
  </si>
  <si>
    <t>CIFX_8_ETHERCAT_INPUT</t>
  </si>
  <si>
    <t>CIFX_8_ETHERCAT_OUTPUT</t>
  </si>
  <si>
    <t>CIFX_8_ETHERCAT_ADDRESSS</t>
  </si>
  <si>
    <t>CIFX_8_PROFINET_OUTPUT_1</t>
  </si>
  <si>
    <t>CIFX_8_PROFINET_OUTPUT_2</t>
  </si>
  <si>
    <t>CIFX_8_PROFINET_OUTPUT_3</t>
  </si>
  <si>
    <t>CIFX_8_PROFINET_OUTPUT_4</t>
  </si>
  <si>
    <t>CIFX_8_PROFINET_INPUT_1</t>
  </si>
  <si>
    <t>CIFX_8_PROFINET_INPUT_2</t>
  </si>
  <si>
    <t>CIFX_8_PROFINET_INPUT_3</t>
  </si>
  <si>
    <t>CIFX_8_PROFINET_INPUT_4</t>
  </si>
  <si>
    <t>CIFX_8_PROFINET_PARAMETER</t>
  </si>
  <si>
    <t>CIFX8ファームウェア</t>
  </si>
  <si>
    <t>CIFX8 DeviceNet.入力スロット数</t>
  </si>
  <si>
    <t>CIFX8 DeviceNet.出力スロット数</t>
  </si>
  <si>
    <t>CIFX8 DeviceNet.ノードアドレス</t>
  </si>
  <si>
    <t>CIFX8 DeviceNet.通信速度(0:125KB|1:250KB|2:500KB)</t>
  </si>
  <si>
    <t>CIFX8 PROFIBUS ノードアドレス</t>
  </si>
  <si>
    <t>CIFX8 PROFIBUS 入力設定(0:8byte|1:12byte|2:16byte|3:20byte|4:32byte)</t>
  </si>
  <si>
    <t>CIFX8 PROFIBUS 出力設定(0:8byte|1:12byte|2:16byte|3:20byte|4:32byte)</t>
  </si>
  <si>
    <t>CIFX8 CC_Linkボーレート(0:156K|1:625K|2:2.5M|3:5M|4:10M)</t>
  </si>
  <si>
    <t>CIFX8 CC_Link局番</t>
  </si>
  <si>
    <t>CIFX8 CC_Link占有局数</t>
  </si>
  <si>
    <t>CIFX8 CC-Link バージョン(1:Ver1.1|2:Ver2.0)</t>
  </si>
  <si>
    <t>CIFX8 CC-Link 拡張サイクリック設定(0:x1|1:x2|2:x4|3:x8)</t>
  </si>
  <si>
    <t>CIFX8 EtherNet/IP IPアドレス</t>
  </si>
  <si>
    <t>CIFX8 EtherNet/IP サブネットマスク</t>
  </si>
  <si>
    <t>CIFX8 EtherNet/IP デフォルトゲートウェイ</t>
  </si>
  <si>
    <t>CIFX8 EtherNet/IP 通信速度(1:Auto Negotiation|2:100M Full|3:100M Half|4:10M Full|5:10M Half)</t>
  </si>
  <si>
    <t>CIFX8 EtherNet/IP 入力サイズ</t>
  </si>
  <si>
    <t>CIFX8 EtherNet/IP 出力サイズ</t>
  </si>
  <si>
    <t>CIFX8 EtherCAT 入力サイズ</t>
  </si>
  <si>
    <t>CIFX8 EtherCAT 出力サイズ</t>
  </si>
  <si>
    <t>CIFX8 EtherCAT Station Address (0:自動, 0以外:固定)</t>
  </si>
  <si>
    <t>CIFX8 PROFINET パラメータ</t>
  </si>
  <si>
    <t>CIFX9ファームウェア</t>
  </si>
  <si>
    <t>CIFX9 DeviceNet.入力スロット数</t>
  </si>
  <si>
    <t>CIFX9 DeviceNet.出力スロット数</t>
  </si>
  <si>
    <t>CIFX9 DeviceNet.ノードアドレス</t>
  </si>
  <si>
    <t>CIFX9 DeviceNet.通信速度(0:125KB|1:250KB|2:500KB)</t>
  </si>
  <si>
    <t>CIFX9 PROFIBUS ノードアドレス</t>
  </si>
  <si>
    <t>CIFX9 PROFIBUS 入力設定(0:8byte|1:12byte|2:16byte|3:20byte|4:32byte)</t>
  </si>
  <si>
    <t>CIFX9 PROFIBUS 出力設定(0:8byte|1:12byte|2:16byte|3:20byte|4:32byte)</t>
  </si>
  <si>
    <t>CIFX9 CC_Linkボーレート(0:156K|1:625K|2:2.5M|3:5M|4:10M)</t>
  </si>
  <si>
    <t>CIFX9 CC_Link局番</t>
  </si>
  <si>
    <t>CIFX9 CC_Link占有局数</t>
  </si>
  <si>
    <t>CIFX9 CC-Link バージョン(1:Ver1.1|2:Ver2.0)</t>
  </si>
  <si>
    <t>CIFX9 CC-Link 拡張サイクリック設定(0:x1|1:x2|2:x4|3:x8)</t>
  </si>
  <si>
    <t>CIFX9 EtherNet/IP IPアドレス</t>
  </si>
  <si>
    <t>CIFX9 EtherNet/IP サブネットマスク</t>
  </si>
  <si>
    <t>CIFX9 EtherNet/IP デフォルトゲートウェイ</t>
  </si>
  <si>
    <t>CIFX9 EtherNet/IP 通信速度(1:Auto Negotiation|2:100M Full|3:100M Half|4:10M Full|5:10M Half)</t>
  </si>
  <si>
    <t>CIFX9 EtherNet/IP 入力サイズ</t>
  </si>
  <si>
    <t>CIFX9 EtherNet/IP 出力サイズ</t>
  </si>
  <si>
    <t>CIFX9 EtherCAT 入力サイズ</t>
  </si>
  <si>
    <t>CIFX9 EtherCAT 出力サイズ</t>
  </si>
  <si>
    <t>CIFX9 EtherCAT Station Address (0:自動, 0以外:固定)</t>
  </si>
  <si>
    <t>CIFX9 PROFINET パラメータ</t>
  </si>
  <si>
    <t>CIFX_9_FIRMWARE</t>
  </si>
  <si>
    <t>CIFX_9_DN_IN_SLOT</t>
  </si>
  <si>
    <t>CIFX_9_DN_OUT_SLOT</t>
  </si>
  <si>
    <t>CIFX_9_DN_MAC_ID</t>
  </si>
  <si>
    <t>CIFX_9_DN_BIT_RATE</t>
  </si>
  <si>
    <t>CIFX_9_PROFIBUS_ADDRESS</t>
  </si>
  <si>
    <t>CIFX_9_PROFIBUS_INPUT</t>
  </si>
  <si>
    <t>CIFX_9_PROFIBUS_OUTPUT</t>
  </si>
  <si>
    <t>CIFX_9_CCLINK_SPEED</t>
  </si>
  <si>
    <t>CIFX_9_CCLINK_STATION_NO</t>
  </si>
  <si>
    <t>CIFX_9_CCLINK_OCCUPIED</t>
  </si>
  <si>
    <t>CIFX_9_CCLINK_VERSION</t>
  </si>
  <si>
    <t>CIFX_9_CCLINK_CYCLIC</t>
  </si>
  <si>
    <t>CIFX_9_ETHERNETIP_ADDRESS</t>
  </si>
  <si>
    <t>CIFX_9_ETHERNETIP_SUBNETMASK</t>
  </si>
  <si>
    <t>CIFX_9_ETHERNETIP_GATEWAY</t>
  </si>
  <si>
    <t>CIFX_9_ETHERNETIP_SPEED</t>
  </si>
  <si>
    <t>CIFX_9_ETHERNETIP_INPUT</t>
  </si>
  <si>
    <t>CIFX_9_ETHERNETIP_OUTPUT</t>
  </si>
  <si>
    <t>CIFX_9_ETHERCAT_INPUT</t>
  </si>
  <si>
    <t>CIFX_9_ETHERCAT_OUTPUT</t>
  </si>
  <si>
    <t>CIFX_9_ETHERCAT_ADDRESSS</t>
  </si>
  <si>
    <t>CIFX_9_PROFINET_OUTPUT_1</t>
  </si>
  <si>
    <t>CIFX_9_PROFINET_OUTPUT_2</t>
  </si>
  <si>
    <t>CIFX_9_PROFINET_OUTPUT_3</t>
  </si>
  <si>
    <t>CIFX_9_PROFINET_OUTPUT_4</t>
  </si>
  <si>
    <t>CIFX_9_PROFINET_INPUT_1</t>
  </si>
  <si>
    <t>CIFX_9_PROFINET_INPUT_2</t>
  </si>
  <si>
    <t>CIFX_9_PROFINET_INPUT_3</t>
  </si>
  <si>
    <t>CIFX_9_PROFINET_INPUT_4</t>
  </si>
  <si>
    <t>CIFX_9_PROFINET_PARAMETER</t>
  </si>
  <si>
    <t>CIFXタイムアウト時間</t>
    <rPh sb="10" eb="12">
      <t>ジカン</t>
    </rPh>
    <phoneticPr fontId="1"/>
  </si>
  <si>
    <t>CIFX_TIMEOUT_SECOND</t>
    <phoneticPr fontId="1"/>
  </si>
  <si>
    <t>CIFX0 EtherNet/IP DHCP有効(0:無効|1:有効)</t>
    <phoneticPr fontId="1"/>
  </si>
  <si>
    <t>CIFX_0_ETHERNETIP_DHCP_ENABLE</t>
    <phoneticPr fontId="1"/>
  </si>
  <si>
    <t>CIFX0 EtherNet/IP Input Run/Idle Header(0:modeless|1:32-bit run/idle header)</t>
    <phoneticPr fontId="1"/>
  </si>
  <si>
    <t>CIFX0 EtherNet/IP Output Run/Idle Header(0:modeless|1:32-bit run/idle header)</t>
    <phoneticPr fontId="1"/>
  </si>
  <si>
    <t>CIFX_0_ETHERNETIP_INPUT_HEADER</t>
    <phoneticPr fontId="1"/>
  </si>
  <si>
    <t>CIFX_0_ETHERNETIP_OUTPUT_HEADER</t>
    <phoneticPr fontId="1"/>
  </si>
  <si>
    <t>0x00000000</t>
    <phoneticPr fontId="1"/>
  </si>
  <si>
    <t>CIFX0 PROFINET IPアドレス</t>
    <phoneticPr fontId="1"/>
  </si>
  <si>
    <t>CIFX0 PROFINET サブネットマスク</t>
    <phoneticPr fontId="1"/>
  </si>
  <si>
    <t>CIFX0 PROFINET デフォルトゲートウェイ</t>
    <phoneticPr fontId="1"/>
  </si>
  <si>
    <t>CIFX_0_PROFINET_ADDRESS</t>
    <phoneticPr fontId="1"/>
  </si>
  <si>
    <t>CIFX_0_PROFINET_SUBNETMASK</t>
    <phoneticPr fontId="1"/>
  </si>
  <si>
    <t>CIFX_0_PROFINET_GATEWAY</t>
    <phoneticPr fontId="1"/>
  </si>
  <si>
    <t>イーサーネットアダプター無効制御(0: 無, 1: 有)</t>
    <rPh sb="12" eb="14">
      <t>ムコウ</t>
    </rPh>
    <rPh sb="14" eb="16">
      <t>セイギョ</t>
    </rPh>
    <rPh sb="20" eb="21">
      <t>ナ</t>
    </rPh>
    <rPh sb="26" eb="27">
      <t>アリ</t>
    </rPh>
    <phoneticPr fontId="1"/>
  </si>
  <si>
    <t>COM_ETHER_END_DISABLE</t>
    <phoneticPr fontId="1"/>
  </si>
  <si>
    <t>COM_ETHER_ENABLE_AFTERWAIT</t>
    <phoneticPr fontId="1"/>
  </si>
  <si>
    <t>イーサーネットアダプター有効化後待ち時間([ms])</t>
    <rPh sb="12" eb="15">
      <t>ユウコウカ</t>
    </rPh>
    <rPh sb="15" eb="16">
      <t>ゴ</t>
    </rPh>
    <rPh sb="16" eb="17">
      <t>マ</t>
    </rPh>
    <rPh sb="18" eb="20">
      <t>ジカン</t>
    </rPh>
    <phoneticPr fontId="1"/>
  </si>
  <si>
    <t>イーサーネットアダプター無効制御追加
イーサーネットアダプター有効化後待ち時間([ms])追加</t>
    <rPh sb="16" eb="18">
      <t>ツイカ</t>
    </rPh>
    <rPh sb="45" eb="47">
      <t>ツイカ</t>
    </rPh>
    <phoneticPr fontId="1"/>
  </si>
  <si>
    <t>設定ファイルバージョン</t>
    <rPh sb="0" eb="2">
      <t>セッテイ</t>
    </rPh>
    <phoneticPr fontId="1"/>
  </si>
  <si>
    <t>CONFIG_VERSION</t>
    <phoneticPr fontId="1"/>
  </si>
  <si>
    <t>0x00000001</t>
    <phoneticPr fontId="1"/>
  </si>
  <si>
    <t>UPS_ENABLE</t>
    <phoneticPr fontId="1"/>
  </si>
  <si>
    <t>夏時間自動調整 (0:無効|1:有効)</t>
    <phoneticPr fontId="1"/>
  </si>
  <si>
    <t>UPS有効設定 (0:無効|1:有効)</t>
    <rPh sb="3" eb="5">
      <t>ユウコウ</t>
    </rPh>
    <rPh sb="5" eb="7">
      <t>セッテイ</t>
    </rPh>
    <phoneticPr fontId="1"/>
  </si>
  <si>
    <t>UPS使用有無（UPS_ENABLE）追加
設定ファイルバージョン（CONFIG_VERSION）追加</t>
    <rPh sb="3" eb="5">
      <t>シヨウ</t>
    </rPh>
    <rPh sb="5" eb="7">
      <t>ウム</t>
    </rPh>
    <rPh sb="19" eb="21">
      <t>ツイカ</t>
    </rPh>
    <rPh sb="22" eb="24">
      <t>セッテイ</t>
    </rPh>
    <rPh sb="49" eb="51">
      <t>ツイカ</t>
    </rPh>
    <phoneticPr fontId="1"/>
  </si>
  <si>
    <t>0xc0a809fe</t>
    <phoneticPr fontId="1"/>
  </si>
  <si>
    <t>UWF容量警告ヒステリシス</t>
    <phoneticPr fontId="1"/>
  </si>
  <si>
    <t>IDSC_UWF_ERR_SRESHOLD</t>
    <phoneticPr fontId="1"/>
  </si>
  <si>
    <t>IDSC_UWF_WARN_HYSTERESIS</t>
    <phoneticPr fontId="1"/>
  </si>
  <si>
    <t>IDSC_UWF_WARN_SRESHOLD</t>
    <phoneticPr fontId="1"/>
  </si>
  <si>
    <t>IDSC_UWF_WATCH_INTERVAL</t>
    <phoneticPr fontId="1"/>
  </si>
  <si>
    <t>CIFX_0_DN_IN_SLOT</t>
    <phoneticPr fontId="1"/>
  </si>
  <si>
    <t>CIFX_0_DN_OUT_SLOT</t>
    <phoneticPr fontId="1"/>
  </si>
  <si>
    <t>CIFX_0_DN_MAC_ID</t>
    <phoneticPr fontId="1"/>
  </si>
  <si>
    <t>CIFX0 DeviceNet.通信速度(0:125KB|1:250KB|2:500KB)</t>
    <phoneticPr fontId="1"/>
  </si>
  <si>
    <t>CIFX_0_DN_BIT_RATE</t>
    <phoneticPr fontId="1"/>
  </si>
  <si>
    <t>CIFX0 EtherNet/IP DLR有効(0:無効|1:有効)</t>
    <phoneticPr fontId="1"/>
  </si>
  <si>
    <t>CIFX_0_ETHERNETIP_DLR_ENABLE</t>
    <phoneticPr fontId="1"/>
  </si>
  <si>
    <t>日付設定可能範囲開始</t>
    <rPh sb="0" eb="2">
      <t>ヒヅケ</t>
    </rPh>
    <rPh sb="2" eb="4">
      <t>セッテイ</t>
    </rPh>
    <rPh sb="4" eb="6">
      <t>カノウ</t>
    </rPh>
    <rPh sb="6" eb="8">
      <t>ハンイ</t>
    </rPh>
    <rPh sb="8" eb="10">
      <t>カイシ</t>
    </rPh>
    <phoneticPr fontId="1"/>
  </si>
  <si>
    <t>DATE_TIME_RANGE_START</t>
    <phoneticPr fontId="1"/>
  </si>
  <si>
    <t>0x08330101</t>
    <phoneticPr fontId="1"/>
  </si>
  <si>
    <t>日付設定可能範囲終了</t>
    <rPh sb="0" eb="2">
      <t>ヒヅケ</t>
    </rPh>
    <rPh sb="2" eb="4">
      <t>セッテイ</t>
    </rPh>
    <rPh sb="4" eb="6">
      <t>カノウ</t>
    </rPh>
    <rPh sb="6" eb="8">
      <t>ハンイ</t>
    </rPh>
    <rPh sb="8" eb="10">
      <t>シュウリョウ</t>
    </rPh>
    <phoneticPr fontId="1"/>
  </si>
  <si>
    <t>DATE_TIME_RANGE_END</t>
    <phoneticPr fontId="1"/>
  </si>
  <si>
    <t>CONFIG_VERSION　バージョン</t>
    <phoneticPr fontId="1"/>
  </si>
  <si>
    <t>-</t>
    <phoneticPr fontId="1"/>
  </si>
  <si>
    <t>-</t>
  </si>
  <si>
    <t>日付設定可能範囲開始、日付設定可能範囲終了追加</t>
    <rPh sb="19" eb="21">
      <t>シュウリョウ</t>
    </rPh>
    <rPh sb="21" eb="23">
      <t>ツイカ</t>
    </rPh>
    <phoneticPr fontId="1"/>
  </si>
  <si>
    <t>CIFX_0_ETHERCAT_INPUT</t>
    <phoneticPr fontId="1"/>
  </si>
  <si>
    <t>CIFX0 EtherCAT Station Address (0:自動, 0以外:固定)</t>
    <phoneticPr fontId="1"/>
  </si>
  <si>
    <t>CIFX_0_ETHERCAT_ADDRESSS</t>
    <phoneticPr fontId="1"/>
  </si>
  <si>
    <t>CIFX_0_PROFINET_OUTPUT_2</t>
    <phoneticPr fontId="1"/>
  </si>
  <si>
    <t>CIFX_0_PROFINET_OUTPUT_4</t>
    <phoneticPr fontId="1"/>
  </si>
  <si>
    <t>CIFX_0_PROFINET_INPUT_1</t>
    <phoneticPr fontId="1"/>
  </si>
  <si>
    <t>CIFX_0_PROFINET_INPUT_2</t>
    <phoneticPr fontId="1"/>
  </si>
  <si>
    <t>CIFX_0_PROFINET_INPUT_4</t>
    <phoneticPr fontId="1"/>
  </si>
  <si>
    <t>CIFX0 PROFINET パラメータ</t>
    <phoneticPr fontId="1"/>
  </si>
  <si>
    <t>CIFX_0_PROFINET_PARAMETER</t>
    <phoneticPr fontId="1"/>
  </si>
  <si>
    <t>0xc0a80001</t>
    <phoneticPr fontId="1"/>
  </si>
  <si>
    <t>0xc0a800fe</t>
    <phoneticPr fontId="1"/>
  </si>
  <si>
    <t>CIFX1 EtherNet/IP DHCP有効(0:無効|1:有効)</t>
    <phoneticPr fontId="1"/>
  </si>
  <si>
    <t>CIFX_1_ETHERNETIP_DHCP_ENABLE</t>
    <phoneticPr fontId="1"/>
  </si>
  <si>
    <t>CIFX1 EtherNet/IP Input Run/Idle Header(0:modeless|1:32-bit run/idle header)</t>
    <phoneticPr fontId="1"/>
  </si>
  <si>
    <t>CIFX_1_ETHERNETIP_INPUT_HEADER</t>
    <phoneticPr fontId="1"/>
  </si>
  <si>
    <t>CIFX1 EtherNet/IP Output Run/Idle Header(0:modeless|1:32-bit run/idle header)</t>
    <phoneticPr fontId="1"/>
  </si>
  <si>
    <t>CIFX_1_ETHERNETIP_OUTPUT_HEADER</t>
    <phoneticPr fontId="1"/>
  </si>
  <si>
    <t>CIFX1 EtherNet/IP DLR有効(0:無効|1:有効)</t>
    <phoneticPr fontId="1"/>
  </si>
  <si>
    <t>CIFX_1_ETHERNETIP_DLR_ENABLE</t>
    <phoneticPr fontId="1"/>
  </si>
  <si>
    <t>CIFX1 PROFINET IPアドレス</t>
    <phoneticPr fontId="1"/>
  </si>
  <si>
    <t>CIFX_1_PROFINET_ADDRESS</t>
    <phoneticPr fontId="1"/>
  </si>
  <si>
    <t>0x00000000</t>
    <phoneticPr fontId="1"/>
  </si>
  <si>
    <t>CIFX1 PROFINET サブネットマスク</t>
    <phoneticPr fontId="1"/>
  </si>
  <si>
    <t>CIFX_1_PROFINET_SUBNETMASK</t>
    <phoneticPr fontId="1"/>
  </si>
  <si>
    <t>CIFX1 PROFINET デフォルトゲートウェイ</t>
    <phoneticPr fontId="1"/>
  </si>
  <si>
    <t>CIFX_1_PROFINET_GATEWAY</t>
    <phoneticPr fontId="1"/>
  </si>
  <si>
    <t>0xc0a80001</t>
    <phoneticPr fontId="1"/>
  </si>
  <si>
    <t>0xc0a800fe</t>
    <phoneticPr fontId="1"/>
  </si>
  <si>
    <t>CIFX2 EtherNet/IP DHCP有効(0:無効|1:有効)</t>
    <phoneticPr fontId="1"/>
  </si>
  <si>
    <t>CIFX_2_ETHERNETIP_DHCP_ENABLE</t>
    <phoneticPr fontId="1"/>
  </si>
  <si>
    <t>CIFX2 EtherNet/IP Input Run/Idle Header(0:modeless|1:32-bit run/idle header)</t>
    <phoneticPr fontId="1"/>
  </si>
  <si>
    <t>CIFX_2_ETHERNETIP_INPUT_HEADER</t>
    <phoneticPr fontId="1"/>
  </si>
  <si>
    <t>CIFX2 EtherNet/IP Output Run/Idle Header(0:modeless|1:32-bit run/idle header)</t>
    <phoneticPr fontId="1"/>
  </si>
  <si>
    <t>CIFX_2_ETHERNETIP_OUTPUT_HEADER</t>
    <phoneticPr fontId="1"/>
  </si>
  <si>
    <t>CIFX2 EtherNet/IP DLR有効(0:無効|1:有効)</t>
    <phoneticPr fontId="1"/>
  </si>
  <si>
    <t>CIFX_2_ETHERNETIP_DLR_ENABLE</t>
    <phoneticPr fontId="1"/>
  </si>
  <si>
    <t>CIFX2 PROFINET IPアドレス</t>
    <phoneticPr fontId="1"/>
  </si>
  <si>
    <t>CIFX_2_PROFINET_ADDRESS</t>
    <phoneticPr fontId="1"/>
  </si>
  <si>
    <t>0x00000000</t>
    <phoneticPr fontId="1"/>
  </si>
  <si>
    <t>CIFX2 PROFINET サブネットマスク</t>
    <phoneticPr fontId="1"/>
  </si>
  <si>
    <t>CIFX_2_PROFINET_SUBNETMASK</t>
    <phoneticPr fontId="1"/>
  </si>
  <si>
    <t>CIFX2 PROFINET デフォルトゲートウェイ</t>
    <phoneticPr fontId="1"/>
  </si>
  <si>
    <t>CIFX_2_PROFINET_GATEWAY</t>
    <phoneticPr fontId="1"/>
  </si>
  <si>
    <t>CIFX3 EtherNet/IP DHCP有効(0:無効|1:有効)</t>
    <phoneticPr fontId="1"/>
  </si>
  <si>
    <t>CIFX_3_ETHERNETIP_DHCP_ENABLE</t>
    <phoneticPr fontId="1"/>
  </si>
  <si>
    <t>CIFX3 EtherNet/IP Input Run/Idle Header(0:modeless|1:32-bit run/idle header)</t>
    <phoneticPr fontId="1"/>
  </si>
  <si>
    <t>CIFX_3_ETHERNETIP_INPUT_HEADER</t>
    <phoneticPr fontId="1"/>
  </si>
  <si>
    <t>CIFX3 EtherNet/IP Output Run/Idle Header(0:modeless|1:32-bit run/idle header)</t>
    <phoneticPr fontId="1"/>
  </si>
  <si>
    <t>CIFX_3_ETHERNETIP_OUTPUT_HEADER</t>
    <phoneticPr fontId="1"/>
  </si>
  <si>
    <t>CIFX3 EtherNet/IP DLR有効(0:無効|1:有効)</t>
    <phoneticPr fontId="1"/>
  </si>
  <si>
    <t>CIFX_3_ETHERNETIP_DLR_ENABLE</t>
    <phoneticPr fontId="1"/>
  </si>
  <si>
    <t>CIFX3 PROFINET IPアドレス</t>
    <phoneticPr fontId="1"/>
  </si>
  <si>
    <t>CIFX_3_PROFINET_ADDRESS</t>
    <phoneticPr fontId="1"/>
  </si>
  <si>
    <t>CIFX3 PROFINET サブネットマスク</t>
    <phoneticPr fontId="1"/>
  </si>
  <si>
    <t>CIFX_3_PROFINET_SUBNETMASK</t>
    <phoneticPr fontId="1"/>
  </si>
  <si>
    <t>CIFX3 PROFINET デフォルトゲートウェイ</t>
    <phoneticPr fontId="1"/>
  </si>
  <si>
    <t>CIFX_3_PROFINET_GATEWAY</t>
    <phoneticPr fontId="1"/>
  </si>
  <si>
    <t>CIFX4 EtherNet/IP DHCP有効(0:無効|1:有効)</t>
    <phoneticPr fontId="1"/>
  </si>
  <si>
    <t>CIFX_4_ETHERNETIP_DHCP_ENABLE</t>
    <phoneticPr fontId="1"/>
  </si>
  <si>
    <t>CIFX4 EtherNet/IP Input Run/Idle Header(0:modeless|1:32-bit run/idle header)</t>
    <phoneticPr fontId="1"/>
  </si>
  <si>
    <t>CIFX_4_ETHERNETIP_INPUT_HEADER</t>
    <phoneticPr fontId="1"/>
  </si>
  <si>
    <t>CIFX4 EtherNet/IP Output Run/Idle Header(0:modeless|1:32-bit run/idle header)</t>
    <phoneticPr fontId="1"/>
  </si>
  <si>
    <t>CIFX_4_ETHERNETIP_OUTPUT_HEADER</t>
    <phoneticPr fontId="1"/>
  </si>
  <si>
    <t>CIFX4 EtherNet/IP DLR有効(0:無効|1:有効)</t>
    <phoneticPr fontId="1"/>
  </si>
  <si>
    <t>CIFX_4_ETHERNETIP_DLR_ENABLE</t>
    <phoneticPr fontId="1"/>
  </si>
  <si>
    <t>CIFX4 PROFINET IPアドレス</t>
    <phoneticPr fontId="1"/>
  </si>
  <si>
    <t>CIFX_4_PROFINET_ADDRESS</t>
    <phoneticPr fontId="1"/>
  </si>
  <si>
    <t>CIFX4 PROFINET サブネットマスク</t>
    <phoneticPr fontId="1"/>
  </si>
  <si>
    <t>CIFX_4_PROFINET_SUBNETMASK</t>
    <phoneticPr fontId="1"/>
  </si>
  <si>
    <t>CIFX4 PROFINET デフォルトゲートウェイ</t>
    <phoneticPr fontId="1"/>
  </si>
  <si>
    <t>CIFX_4_PROFINET_GATEWAY</t>
    <phoneticPr fontId="1"/>
  </si>
  <si>
    <t>CIFX_5_ETHERNETIP_DHCP_ENABLE</t>
    <phoneticPr fontId="1"/>
  </si>
  <si>
    <t>CIFX5 EtherNet/IP Input Run/Idle Header(0:modeless|1:32-bit run/idle header)</t>
    <phoneticPr fontId="1"/>
  </si>
  <si>
    <t>CIFX_5_ETHERNETIP_INPUT_HEADER</t>
    <phoneticPr fontId="1"/>
  </si>
  <si>
    <t>CIFX5 EtherNet/IP Output Run/Idle Header(0:modeless|1:32-bit run/idle header)</t>
    <phoneticPr fontId="1"/>
  </si>
  <si>
    <t>CIFX_5_ETHERNETIP_OUTPUT_HEADER</t>
    <phoneticPr fontId="1"/>
  </si>
  <si>
    <t>CIFX5 EtherNet/IP DLR有効(0:無効|1:有効)</t>
    <phoneticPr fontId="1"/>
  </si>
  <si>
    <t>CIFX_5_ETHERNETIP_DLR_ENABLE</t>
    <phoneticPr fontId="1"/>
  </si>
  <si>
    <t>CIFX5 PROFINET IPアドレス</t>
    <phoneticPr fontId="1"/>
  </si>
  <si>
    <t>CIFX_5_PROFINET_ADDRESS</t>
    <phoneticPr fontId="1"/>
  </si>
  <si>
    <t>CIFX5 PROFINET サブネットマスク</t>
    <phoneticPr fontId="1"/>
  </si>
  <si>
    <t>CIFX_5_PROFINET_SUBNETMASK</t>
    <phoneticPr fontId="1"/>
  </si>
  <si>
    <t>CIFX5 PROFINET デフォルトゲートウェイ</t>
    <phoneticPr fontId="1"/>
  </si>
  <si>
    <t>CIFX_5_PROFINET_GATEWAY</t>
    <phoneticPr fontId="1"/>
  </si>
  <si>
    <t>CIFX6 EtherNet/IP DHCP有効(0:無効|1:有効)</t>
    <phoneticPr fontId="1"/>
  </si>
  <si>
    <t>CIFX_6_ETHERNETIP_DHCP_ENABLE</t>
    <phoneticPr fontId="1"/>
  </si>
  <si>
    <t>CIFX6 EtherNet/IP Input Run/Idle Header(0:modeless|1:32-bit run/idle header)</t>
    <phoneticPr fontId="1"/>
  </si>
  <si>
    <t>CIFX_6_ETHERNETIP_INPUT_HEADER</t>
    <phoneticPr fontId="1"/>
  </si>
  <si>
    <t>CIFX6 EtherNet/IP Output Run/Idle Header(0:modeless|1:32-bit run/idle header)</t>
    <phoneticPr fontId="1"/>
  </si>
  <si>
    <t>CIFX_6_ETHERNETIP_OUTPUT_HEADER</t>
    <phoneticPr fontId="1"/>
  </si>
  <si>
    <t>CIFX6 EtherNet/IP DLR有効(0:無効|1:有効)</t>
    <phoneticPr fontId="1"/>
  </si>
  <si>
    <t>CIFX_6_ETHERNETIP_DLR_ENABLE</t>
    <phoneticPr fontId="1"/>
  </si>
  <si>
    <t>CIFX6 PROFINET IPアドレス</t>
    <phoneticPr fontId="1"/>
  </si>
  <si>
    <t>CIFX_6_PROFINET_ADDRESS</t>
    <phoneticPr fontId="1"/>
  </si>
  <si>
    <t>CIFX6 PROFINET サブネットマスク</t>
    <phoneticPr fontId="1"/>
  </si>
  <si>
    <t>CIFX_6_PROFINET_SUBNETMASK</t>
    <phoneticPr fontId="1"/>
  </si>
  <si>
    <t>CIFX6 PROFINET デフォルトゲートウェイ</t>
    <phoneticPr fontId="1"/>
  </si>
  <si>
    <t>CIFX_6_PROFINET_GATEWAY</t>
    <phoneticPr fontId="1"/>
  </si>
  <si>
    <t>CIFX7 EtherNet/IP DHCP有効(0:無効|1:有効)</t>
    <phoneticPr fontId="1"/>
  </si>
  <si>
    <t>CIFX_7_ETHERNETIP_DHCP_ENABLE</t>
    <phoneticPr fontId="1"/>
  </si>
  <si>
    <t>CIFX7 EtherNet/IP Input Run/Idle Header(0:modeless|1:32-bit run/idle header)</t>
    <phoneticPr fontId="1"/>
  </si>
  <si>
    <t>CIFX_7_ETHERNETIP_INPUT_HEADER</t>
    <phoneticPr fontId="1"/>
  </si>
  <si>
    <t>CIFX7 EtherNet/IP Output Run/Idle Header(0:modeless|1:32-bit run/idle header)</t>
    <phoneticPr fontId="1"/>
  </si>
  <si>
    <t>CIFX_7_ETHERNETIP_OUTPUT_HEADER</t>
    <phoneticPr fontId="1"/>
  </si>
  <si>
    <t>CIFX7 EtherNet/IP DLR有効(0:無効|1:有効)</t>
    <phoneticPr fontId="1"/>
  </si>
  <si>
    <t>CIFX_7_ETHERNETIP_DLR_ENABLE</t>
    <phoneticPr fontId="1"/>
  </si>
  <si>
    <t>CIFX7 PROFINET IPアドレス</t>
    <phoneticPr fontId="1"/>
  </si>
  <si>
    <t>CIFX_7_PROFINET_ADDRESS</t>
    <phoneticPr fontId="1"/>
  </si>
  <si>
    <t>CIFX7 PROFINET サブネットマスク</t>
    <phoneticPr fontId="1"/>
  </si>
  <si>
    <t>CIFX_7_PROFINET_SUBNETMASK</t>
    <phoneticPr fontId="1"/>
  </si>
  <si>
    <t>CIFX7 PROFINET デフォルトゲートウェイ</t>
    <phoneticPr fontId="1"/>
  </si>
  <si>
    <t>CIFX_7_PROFINET_GATEWAY</t>
    <phoneticPr fontId="1"/>
  </si>
  <si>
    <t>CIFX8 EtherNet/IP DHCP有効(0:無効|1:有効)</t>
    <phoneticPr fontId="1"/>
  </si>
  <si>
    <t>CIFX_8_ETHERNETIP_DHCP_ENABLE</t>
    <phoneticPr fontId="1"/>
  </si>
  <si>
    <t>CIFX8 EtherNet/IP Input Run/Idle Header(0:modeless|1:32-bit run/idle header)</t>
    <phoneticPr fontId="1"/>
  </si>
  <si>
    <t>CIFX_8_ETHERNETIP_INPUT_HEADER</t>
    <phoneticPr fontId="1"/>
  </si>
  <si>
    <t>CIFX8 EtherNet/IP Output Run/Idle Header(0:modeless|1:32-bit run/idle header)</t>
    <phoneticPr fontId="1"/>
  </si>
  <si>
    <t>CIFX_8_ETHERNETIP_OUTPUT_HEADER</t>
    <phoneticPr fontId="1"/>
  </si>
  <si>
    <t>CIFX8 EtherNet/IP DLR有効(0:無効|1:有効)</t>
    <phoneticPr fontId="1"/>
  </si>
  <si>
    <t>CIFX_8_ETHERNETIP_DLR_ENABLE</t>
    <phoneticPr fontId="1"/>
  </si>
  <si>
    <t>CIFX8 PROFINET IPアドレス</t>
    <phoneticPr fontId="1"/>
  </si>
  <si>
    <t>CIFX_8_PROFINET_ADDRESS</t>
    <phoneticPr fontId="1"/>
  </si>
  <si>
    <t>CIFX8 PROFINET サブネットマスク</t>
    <phoneticPr fontId="1"/>
  </si>
  <si>
    <t>CIFX_8_PROFINET_SUBNETMASK</t>
    <phoneticPr fontId="1"/>
  </si>
  <si>
    <t>CIFX8 PROFINET デフォルトゲートウェイ</t>
    <phoneticPr fontId="1"/>
  </si>
  <si>
    <t>CIFX_8_PROFINET_GATEWAY</t>
    <phoneticPr fontId="1"/>
  </si>
  <si>
    <t>CIFX9 EtherNet/IP DHCP有効(0:無効|1:有効)</t>
    <phoneticPr fontId="1"/>
  </si>
  <si>
    <t>CIFX_9_ETHERNETIP_DHCP_ENABLE</t>
    <phoneticPr fontId="1"/>
  </si>
  <si>
    <t>CIFX9 EtherNet/IP Input Run/Idle Header(0:modeless|1:32-bit run/idle header)</t>
    <phoneticPr fontId="1"/>
  </si>
  <si>
    <t>CIFX_9_ETHERNETIP_INPUT_HEADER</t>
    <phoneticPr fontId="1"/>
  </si>
  <si>
    <t>CIFX9 EtherNet/IP Output Run/Idle Header(0:modeless|1:32-bit run/idle header)</t>
    <phoneticPr fontId="1"/>
  </si>
  <si>
    <t>CIFX_9_ETHERNETIP_OUTPUT_HEADER</t>
    <phoneticPr fontId="1"/>
  </si>
  <si>
    <t>CIFX9 EtherNet/IP DLR有効(0:無効|1:有効)</t>
    <phoneticPr fontId="1"/>
  </si>
  <si>
    <t>CIFX_9_ETHERNETIP_DLR_ENABLE</t>
    <phoneticPr fontId="1"/>
  </si>
  <si>
    <t>CIFX9 PROFINET IPアドレス</t>
    <phoneticPr fontId="1"/>
  </si>
  <si>
    <t>CIFX_9_PROFINET_ADDRESS</t>
    <phoneticPr fontId="1"/>
  </si>
  <si>
    <t>CIFX9 PROFINET サブネットマスク</t>
    <phoneticPr fontId="1"/>
  </si>
  <si>
    <t>CIFX_9_PROFINET_SUBNETMASK</t>
    <phoneticPr fontId="1"/>
  </si>
  <si>
    <t>CIFX9 PROFINET デフォルトゲートウェイ</t>
    <phoneticPr fontId="1"/>
  </si>
  <si>
    <t>CIFX_9_PROFINET_GATEWAY</t>
    <phoneticPr fontId="1"/>
  </si>
  <si>
    <t>IoTDB</t>
    <phoneticPr fontId="1"/>
  </si>
  <si>
    <t>IoTDS設定ファイルパス</t>
    <rPh sb="5" eb="7">
      <t>セッテイ</t>
    </rPh>
    <phoneticPr fontId="1"/>
  </si>
  <si>
    <t>IoTDS設定ファイルパス追加</t>
    <rPh sb="13" eb="15">
      <t>ツイカ</t>
    </rPh>
    <phoneticPr fontId="1"/>
  </si>
  <si>
    <t>CIFXの情報がSystemに集約されたため、DigitalIO項目全削除</t>
    <rPh sb="5" eb="7">
      <t>ジョウホウ</t>
    </rPh>
    <rPh sb="15" eb="17">
      <t>シュウヤク</t>
    </rPh>
    <rPh sb="32" eb="34">
      <t>コウモク</t>
    </rPh>
    <rPh sb="34" eb="35">
      <t>ゼン</t>
    </rPh>
    <rPh sb="35" eb="37">
      <t>サクジョ</t>
    </rPh>
    <phoneticPr fontId="1"/>
  </si>
  <si>
    <t>CIFX0 EtherCAT Temprary Address</t>
    <phoneticPr fontId="1"/>
  </si>
  <si>
    <t>CIFX_0_ETHERCAT_TEMPORARY_ADDRESSS</t>
    <phoneticPr fontId="1"/>
  </si>
  <si>
    <t>CIFX2 EtherCAT Temprary Address</t>
    <phoneticPr fontId="1"/>
  </si>
  <si>
    <t>CIFX1 EtherCAT Temprary Address</t>
    <phoneticPr fontId="1"/>
  </si>
  <si>
    <t>CIFX_1_ETHERCAT_TEMPORARY_ADDRESSS</t>
    <phoneticPr fontId="1"/>
  </si>
  <si>
    <t>CIFX_2_ETHERCAT_TEMPORARY_ADDRESSS</t>
    <phoneticPr fontId="1"/>
  </si>
  <si>
    <t>CIFX3 EtherCAT Temprary Address</t>
    <phoneticPr fontId="1"/>
  </si>
  <si>
    <t>CIFX_3_ETHERCAT_TEMPORARY_ADDRESSS</t>
    <phoneticPr fontId="1"/>
  </si>
  <si>
    <t>CIFX4 EtherCAT Temprary Address</t>
    <phoneticPr fontId="1"/>
  </si>
  <si>
    <t>CIFX_4_ETHERCAT_TEMPORARY_ADDRESSS</t>
    <phoneticPr fontId="1"/>
  </si>
  <si>
    <t>CIFX5 EtherCAT Temprary Address</t>
    <phoneticPr fontId="1"/>
  </si>
  <si>
    <t>CIFX_5_ETHERCAT_TEMPORARY_ADDRESSS</t>
    <phoneticPr fontId="1"/>
  </si>
  <si>
    <t>CIFX6 EtherCAT Temprary Address</t>
    <phoneticPr fontId="1"/>
  </si>
  <si>
    <t>CIFX_6_ETHERCAT_TEMPORARY_ADDRESSS</t>
    <phoneticPr fontId="1"/>
  </si>
  <si>
    <t>CIFX7 EtherCAT Temprary Address</t>
    <phoneticPr fontId="1"/>
  </si>
  <si>
    <t>CIFX_7_ETHERCAT_TEMPORARY_ADDRESSS</t>
    <phoneticPr fontId="1"/>
  </si>
  <si>
    <t>CIFX8 EtherCAT Temprary Address</t>
    <phoneticPr fontId="1"/>
  </si>
  <si>
    <t>CIFX_8_ETHERCAT_TEMPORARY_ADDRESSS</t>
    <phoneticPr fontId="1"/>
  </si>
  <si>
    <t>CIFX9 EtherCAT Temprary Address</t>
    <phoneticPr fontId="1"/>
  </si>
  <si>
    <t>CIFX_9_ETHERCAT_TEMPORARY_ADDRESSS</t>
    <phoneticPr fontId="1"/>
  </si>
  <si>
    <t>FTPサービス起動時有効設定 (0:無効|1:有効)</t>
    <rPh sb="7" eb="9">
      <t>キドウ</t>
    </rPh>
    <rPh sb="9" eb="10">
      <t>ジ</t>
    </rPh>
    <rPh sb="10" eb="12">
      <t>ユウコウ</t>
    </rPh>
    <rPh sb="12" eb="14">
      <t>セッテイ</t>
    </rPh>
    <phoneticPr fontId="1"/>
  </si>
  <si>
    <t>FTP_SERVICE_INIT_ENABLE</t>
    <phoneticPr fontId="1"/>
  </si>
  <si>
    <t>FTPサービス起動時有効設定 追加</t>
    <rPh sb="15" eb="17">
      <t>ツイカ</t>
    </rPh>
    <phoneticPr fontId="1"/>
  </si>
  <si>
    <t>「,」区切り複数可能</t>
    <rPh sb="3" eb="5">
      <t>クギ</t>
    </rPh>
    <rPh sb="6" eb="8">
      <t>フクスウ</t>
    </rPh>
    <rPh sb="8" eb="10">
      <t>カノウ</t>
    </rPh>
    <phoneticPr fontId="1"/>
  </si>
  <si>
    <t>0x00000002</t>
    <phoneticPr fontId="1"/>
  </si>
  <si>
    <t>0x00000003</t>
    <phoneticPr fontId="1"/>
  </si>
  <si>
    <t>0x00000004</t>
    <phoneticPr fontId="1"/>
  </si>
  <si>
    <t>0x00000005</t>
    <phoneticPr fontId="1"/>
  </si>
  <si>
    <t>DB_DATABASE_NAME→DB_DATABASE_NAMESに変更
バージョンアップ時、前回の間違いをマージしないため</t>
    <rPh sb="35" eb="37">
      <t>ヘンコウ</t>
    </rPh>
    <rPh sb="46" eb="47">
      <t>ジ</t>
    </rPh>
    <rPh sb="48" eb="50">
      <t>ゼンカイ</t>
    </rPh>
    <rPh sb="51" eb="53">
      <t>マチガ</t>
    </rPh>
    <phoneticPr fontId="1"/>
  </si>
  <si>
    <t>D:\User\Settings\IoTDS\UserData.xml,C:\IoTDataStudio\Bin\SystemData.xml</t>
    <phoneticPr fontId="1"/>
  </si>
  <si>
    <t>0x00000006</t>
    <phoneticPr fontId="1"/>
  </si>
  <si>
    <t>0x00000007</t>
    <phoneticPr fontId="1"/>
  </si>
  <si>
    <t>IOTDS_USERDATA_XMLS</t>
    <phoneticPr fontId="1"/>
  </si>
  <si>
    <t>IOTDS_USERDATA_XML→IOTDS_USERDATA_XMLSに変更
IoTDS設定ファイルパスでUserData.xmlがない場合、SystemData.xmlを参照するようにしたため、設定キーを変更</t>
    <rPh sb="39" eb="41">
      <t>ヘンコウ</t>
    </rPh>
    <rPh sb="101" eb="103">
      <t>セッテイ</t>
    </rPh>
    <rPh sb="106" eb="108">
      <t>ヘンコウ</t>
    </rPh>
    <phoneticPr fontId="1"/>
  </si>
  <si>
    <t>※注意：バージョンアップ時の注意</t>
    <rPh sb="1" eb="3">
      <t>チュウイ</t>
    </rPh>
    <rPh sb="12" eb="13">
      <t>ジ</t>
    </rPh>
    <rPh sb="14" eb="16">
      <t>チュウイ</t>
    </rPh>
    <phoneticPr fontId="1"/>
  </si>
  <si>
    <t>ユーザーが変更しない項目の、デフォルト値を変更する場合はキー名を変更しないと過去のファイルのデータで上書きされてしまいます。（バージョン情報は除く）</t>
    <rPh sb="5" eb="7">
      <t>ヘンコウ</t>
    </rPh>
    <rPh sb="10" eb="12">
      <t>コウモク</t>
    </rPh>
    <rPh sb="30" eb="31">
      <t>メイ</t>
    </rPh>
    <rPh sb="32" eb="34">
      <t>ヘンコウ</t>
    </rPh>
    <rPh sb="38" eb="40">
      <t>カコ</t>
    </rPh>
    <rPh sb="50" eb="52">
      <t>ウワガ</t>
    </rPh>
    <phoneticPr fontId="1"/>
  </si>
  <si>
    <t>DB_DATABASE_NAMES</t>
    <phoneticPr fontId="1"/>
  </si>
  <si>
    <t>DB_DATABASE_NAME時、IoTDSだったため更新したいが、同じキーだと古いファイルの値が引き継がれるため名称を変更した。</t>
    <rPh sb="16" eb="17">
      <t>ジ</t>
    </rPh>
    <rPh sb="28" eb="30">
      <t>コウシン</t>
    </rPh>
    <rPh sb="35" eb="36">
      <t>オナ</t>
    </rPh>
    <rPh sb="41" eb="42">
      <t>フル</t>
    </rPh>
    <rPh sb="48" eb="49">
      <t>アタイ</t>
    </rPh>
    <rPh sb="50" eb="51">
      <t>ヒ</t>
    </rPh>
    <rPh sb="52" eb="53">
      <t>ツ</t>
    </rPh>
    <rPh sb="58" eb="60">
      <t>メイショウ</t>
    </rPh>
    <rPh sb="61" eb="63">
      <t>ヘンコウ</t>
    </rPh>
    <phoneticPr fontId="1"/>
  </si>
  <si>
    <t>DB_DATABASE_NAME→IoTDS</t>
    <phoneticPr fontId="1"/>
  </si>
  <si>
    <t>DB_DATABASE_NAMES→IoTDB</t>
    <phoneticPr fontId="1"/>
  </si>
  <si>
    <t>例）</t>
    <rPh sb="0" eb="1">
      <t>レイ</t>
    </rPh>
    <phoneticPr fontId="1"/>
  </si>
  <si>
    <t>0x07d00101</t>
    <phoneticPr fontId="1"/>
  </si>
  <si>
    <t>0x07d00101</t>
    <phoneticPr fontId="1"/>
  </si>
  <si>
    <t>0x00000008</t>
    <phoneticPr fontId="1"/>
  </si>
  <si>
    <t>IDSC_TIME_ZONE_INDEX
IDSC_TIME_ZONE_STRINGIDに変更</t>
    <rPh sb="45" eb="47">
      <t>ヘンコウ</t>
    </rPh>
    <phoneticPr fontId="1"/>
  </si>
  <si>
    <t>IDSC_TIME_ZONE_STRINGID</t>
    <phoneticPr fontId="1"/>
  </si>
  <si>
    <t>※注意：ExcelMacroKicker.vbsでMakeAllを実行する場合は、SVNのパスに出力されます。</t>
    <rPh sb="1" eb="3">
      <t>チュウイ</t>
    </rPh>
    <rPh sb="33" eb="35">
      <t>ジッコウ</t>
    </rPh>
    <rPh sb="37" eb="39">
      <t>バアイ</t>
    </rPh>
    <rPh sb="48" eb="50">
      <t>シュツリョク</t>
    </rPh>
    <phoneticPr fontId="1"/>
  </si>
  <si>
    <t>VNC設定情報</t>
    <rPh sb="3" eb="5">
      <t>セッテイ</t>
    </rPh>
    <rPh sb="5" eb="7">
      <t>ジョウホウ</t>
    </rPh>
    <phoneticPr fontId="1"/>
  </si>
  <si>
    <t>ShareUser</t>
    <phoneticPr fontId="1"/>
  </si>
  <si>
    <t>0x00000009</t>
    <phoneticPr fontId="1"/>
  </si>
  <si>
    <t>設定ファイルパス,設定コマンド,設定ファイル,設定キー,パスワードキー(通常パスワード:view-onlyパスワード)</t>
    <rPh sb="0" eb="2">
      <t>セッテイ</t>
    </rPh>
    <rPh sb="9" eb="11">
      <t>セッテイ</t>
    </rPh>
    <rPh sb="16" eb="18">
      <t>セッテイ</t>
    </rPh>
    <rPh sb="23" eb="25">
      <t>セッテイ</t>
    </rPh>
    <rPh sb="36" eb="38">
      <t>ツウジョウ</t>
    </rPh>
    <phoneticPr fontId="1"/>
  </si>
  <si>
    <t>C:\Program Files\uvnc bvba\UltraVNC,setpasswd.exe,ultravnc.ini,ultravnc,passwd:passwd2</t>
    <phoneticPr fontId="1"/>
  </si>
  <si>
    <t>DB_DATABASE_NAME</t>
    <phoneticPr fontId="1"/>
  </si>
  <si>
    <t>IoTDS</t>
    <phoneticPr fontId="1"/>
  </si>
  <si>
    <t>×</t>
  </si>
  <si>
    <t>DB_DATABASE_NAMESに変更</t>
    <rPh sb="18" eb="20">
      <t>ヘンコウ</t>
    </rPh>
    <phoneticPr fontId="1"/>
  </si>
  <si>
    <t>IDSC_TIME_ZONE_INDEX</t>
    <phoneticPr fontId="1"/>
  </si>
  <si>
    <t>レジストリ構成が異なるため変更</t>
    <rPh sb="5" eb="7">
      <t>コウセイ</t>
    </rPh>
    <rPh sb="8" eb="9">
      <t>コト</t>
    </rPh>
    <rPh sb="13" eb="15">
      <t>ヘンコウ</t>
    </rPh>
    <phoneticPr fontId="1"/>
  </si>
  <si>
    <t>IOTDS_USERDATA_XML</t>
    <phoneticPr fontId="1"/>
  </si>
  <si>
    <t>D:\User\Settings\IoTDS\UserData.xml</t>
    <phoneticPr fontId="1"/>
  </si>
  <si>
    <t>IOTDS_USERDATA_XMLSに変更</t>
    <rPh sb="20" eb="22">
      <t>ヘンコウ</t>
    </rPh>
    <phoneticPr fontId="1"/>
  </si>
  <si>
    <t>UserData.xmlがない場合、SystemData.xmlを参照</t>
    <rPh sb="15" eb="17">
      <t>バアイ</t>
    </rPh>
    <rPh sb="33" eb="35">
      <t>サンショウ</t>
    </rPh>
    <phoneticPr fontId="1"/>
  </si>
  <si>
    <t>データベース名（有効不可）</t>
    <rPh sb="6" eb="7">
      <t>メイ</t>
    </rPh>
    <rPh sb="8" eb="10">
      <t>ユウコウ</t>
    </rPh>
    <rPh sb="10" eb="12">
      <t>フカ</t>
    </rPh>
    <phoneticPr fontId="1"/>
  </si>
  <si>
    <t>タイムゾーン（有効不可）</t>
    <phoneticPr fontId="1"/>
  </si>
  <si>
    <t>IoTDS設定ファイルパス（有効不可）</t>
    <rPh sb="5" eb="7">
      <t>セッテイ</t>
    </rPh>
    <phoneticPr fontId="1"/>
  </si>
  <si>
    <t>グレーアウト行は過去のデータは引きがれるため、有効不可</t>
    <rPh sb="6" eb="7">
      <t>ギョウ</t>
    </rPh>
    <rPh sb="8" eb="10">
      <t>カコ</t>
    </rPh>
    <rPh sb="15" eb="16">
      <t>ヒ</t>
    </rPh>
    <rPh sb="23" eb="25">
      <t>ユウコウ</t>
    </rPh>
    <rPh sb="25" eb="27">
      <t>フカ</t>
    </rPh>
    <phoneticPr fontId="1"/>
  </si>
  <si>
    <t>ICMP設定ルール</t>
    <rPh sb="4" eb="6">
      <t>セッテイ</t>
    </rPh>
    <phoneticPr fontId="1"/>
  </si>
  <si>
    <t>IoTDataServer-ICMPv4-In,IoTDataServer-ICMPv6-In</t>
    <phoneticPr fontId="1"/>
  </si>
  <si>
    <t>ユーザー名を設定</t>
    <rPh sb="4" eb="5">
      <t>メイ</t>
    </rPh>
    <rPh sb="6" eb="8">
      <t>セッテイ</t>
    </rPh>
    <phoneticPr fontId="1"/>
  </si>
  <si>
    <t>0x0000000A</t>
    <phoneticPr fontId="1"/>
  </si>
  <si>
    <t>IOTDS_ICMP_ENABLE</t>
    <phoneticPr fontId="1"/>
  </si>
  <si>
    <t>イーサネット[1]. DHCP有効 (0: 無効, 1: 有効)</t>
    <phoneticPr fontId="1"/>
  </si>
  <si>
    <t>ICMP有効状態 (0: 無効, 1: 有効)</t>
    <rPh sb="4" eb="6">
      <t>ユウコウ</t>
    </rPh>
    <rPh sb="6" eb="8">
      <t>ジョウタイ</t>
    </rPh>
    <phoneticPr fontId="1"/>
  </si>
  <si>
    <t>変更ルールを「,」で区切り設定</t>
    <rPh sb="0" eb="2">
      <t>ヘンコウ</t>
    </rPh>
    <rPh sb="10" eb="12">
      <t>クギ</t>
    </rPh>
    <rPh sb="13" eb="15">
      <t>セッテイ</t>
    </rPh>
    <phoneticPr fontId="1"/>
  </si>
  <si>
    <t>IOTDS_ICMP_OS_DEFAULT_ENABLE</t>
    <phoneticPr fontId="1"/>
  </si>
  <si>
    <t>OS基本状態</t>
    <rPh sb="2" eb="4">
      <t>キホン</t>
    </rPh>
    <rPh sb="4" eb="6">
      <t>ジョウタイ</t>
    </rPh>
    <phoneticPr fontId="1"/>
  </si>
  <si>
    <t>ICMP OS デフォルト 有効状態 (0: 無効, 1: 有効)</t>
    <rPh sb="14" eb="16">
      <t>ユウコウ</t>
    </rPh>
    <rPh sb="16" eb="18">
      <t>ジョウタイ</t>
    </rPh>
    <phoneticPr fontId="1"/>
  </si>
  <si>
    <t>V1.1.0対応 ICMP関連対応追加
IOTDS_ICMP_RULES、IOTDS_ICMP_ENABLE、IOTDS_ICMP_OS_DEFAULT_ENABLE</t>
    <rPh sb="13" eb="15">
      <t>カンレン</t>
    </rPh>
    <rPh sb="15" eb="17">
      <t>タイオウ</t>
    </rPh>
    <rPh sb="17" eb="19">
      <t>ツイカ</t>
    </rPh>
    <phoneticPr fontId="1"/>
  </si>
  <si>
    <t>V1.1.0対応 パスワード変更対応追加
IOTDS_VNC_INFO、IOTDS_SHARED_FOLDER_INFO
過去使用の項目で使用不可項目を「×」として表記</t>
    <rPh sb="6" eb="8">
      <t>タイオウ</t>
    </rPh>
    <rPh sb="14" eb="16">
      <t>ヘンコウ</t>
    </rPh>
    <rPh sb="16" eb="18">
      <t>タイオウ</t>
    </rPh>
    <rPh sb="18" eb="20">
      <t>ツイカ</t>
    </rPh>
    <rPh sb="61" eb="63">
      <t>カコ</t>
    </rPh>
    <rPh sb="63" eb="65">
      <t>シヨウ</t>
    </rPh>
    <rPh sb="66" eb="68">
      <t>コウモク</t>
    </rPh>
    <rPh sb="69" eb="71">
      <t>シヨウ</t>
    </rPh>
    <rPh sb="71" eb="73">
      <t>フカ</t>
    </rPh>
    <rPh sb="73" eb="75">
      <t>コウモク</t>
    </rPh>
    <rPh sb="82" eb="84">
      <t>ヒョウキ</t>
    </rPh>
    <phoneticPr fontId="1"/>
  </si>
  <si>
    <t>VNC初期パスワード</t>
    <rPh sb="3" eb="5">
      <t>ショキ</t>
    </rPh>
    <phoneticPr fontId="1"/>
  </si>
  <si>
    <t>BminHt4uMQBkK00Xu/glYCB3k+YOUIay4IKCqZEfmrfFmO9OrgXq719WzyUwz1cNEjShR7OI+k5u0XtBt5L0qAe1FI9eaixCg8+UfjsAOdUEuqr6j01EyLllHbbewo+I</t>
    <phoneticPr fontId="1"/>
  </si>
  <si>
    <t>dTd8kE/MYlNvHBRJkL9qeGLK5vThcv4G9iGGbEXq5paFIlRlstps4lwM1ZwEio3RkHr2nEN8kVpGU2O//OEICdxfwtcSrs3m4y51hPD6SQTPIUzsN5OujiidVXmOBpX1</t>
    <phoneticPr fontId="1"/>
  </si>
  <si>
    <t>「,」区切り複数設定、ワイルドカード設定</t>
    <rPh sb="3" eb="5">
      <t>クギ</t>
    </rPh>
    <rPh sb="6" eb="8">
      <t>フクスウ</t>
    </rPh>
    <rPh sb="8" eb="10">
      <t>セッテイ</t>
    </rPh>
    <rPh sb="18" eb="20">
      <t>セッテイ</t>
    </rPh>
    <phoneticPr fontId="1"/>
  </si>
  <si>
    <t>FTP_BACKUP_TEMP_FILES</t>
    <phoneticPr fontId="1"/>
  </si>
  <si>
    <t>0x0000000B</t>
    <phoneticPr fontId="1"/>
  </si>
  <si>
    <t>FTP_BACKUP_TEMP_FILEPATH</t>
    <phoneticPr fontId="1"/>
  </si>
  <si>
    <t>Log</t>
    <phoneticPr fontId="1"/>
  </si>
  <si>
    <t>FTPバックアップ　テンポラリログバックアップ対象ファイル</t>
    <rPh sb="23" eb="25">
      <t>タイショウ</t>
    </rPh>
    <phoneticPr fontId="1"/>
  </si>
  <si>
    <t>FTPバックアップ　テンポラリログバックアップ保存相対パス</t>
    <rPh sb="23" eb="25">
      <t>ホゾン</t>
    </rPh>
    <rPh sb="25" eb="27">
      <t>ソウタイ</t>
    </rPh>
    <phoneticPr fontId="1"/>
  </si>
  <si>
    <t>V1.1.0 R2対応 
VNC、共有ユーザパスワード追加　暗号化後のパスワード
　IOTDS_VNC_INIT_PASSWD
　IOTDS_SHARED_FOLDER_INIT_PASSWD
FTPバックアップテンポラリファイル設定
　FTP_BACKUP_TEMP_FILEPATH
　FTP_BACKUP_TEMP_FILES</t>
    <rPh sb="30" eb="33">
      <t>アンゴウカ</t>
    </rPh>
    <rPh sb="33" eb="34">
      <t>ゴ</t>
    </rPh>
    <rPh sb="115" eb="117">
      <t>セッテイ</t>
    </rPh>
    <phoneticPr fontId="1"/>
  </si>
  <si>
    <t>IOTDS_ICMP_RULES</t>
    <phoneticPr fontId="1"/>
  </si>
  <si>
    <t>ファイル出力
有効/無効</t>
    <rPh sb="4" eb="6">
      <t>シュツリョク</t>
    </rPh>
    <rPh sb="7" eb="9">
      <t>ユウコウ</t>
    </rPh>
    <rPh sb="10" eb="12">
      <t>ムコウ</t>
    </rPh>
    <phoneticPr fontId="1"/>
  </si>
  <si>
    <t>固定XMLファイル名</t>
    <rPh sb="0" eb="2">
      <t>コテイ</t>
    </rPh>
    <rPh sb="9" eb="10">
      <t>メイ</t>
    </rPh>
    <phoneticPr fontId="1"/>
  </si>
  <si>
    <t>IoTDSDataSys.xml</t>
    <phoneticPr fontId="1"/>
  </si>
  <si>
    <t>Index</t>
    <phoneticPr fontId="1"/>
  </si>
  <si>
    <t>↓無くなった定義　追加は空行より上に記述追加してください。</t>
    <rPh sb="1" eb="2">
      <t>ナ</t>
    </rPh>
    <rPh sb="6" eb="8">
      <t>テイギ</t>
    </rPh>
    <rPh sb="9" eb="11">
      <t>ツイカ</t>
    </rPh>
    <rPh sb="12" eb="13">
      <t>カラ</t>
    </rPh>
    <rPh sb="13" eb="14">
      <t>ギョウ</t>
    </rPh>
    <rPh sb="16" eb="17">
      <t>ウエ</t>
    </rPh>
    <rPh sb="18" eb="20">
      <t>キジュツ</t>
    </rPh>
    <rPh sb="20" eb="22">
      <t>ツイカ</t>
    </rPh>
    <phoneticPr fontId="1"/>
  </si>
  <si>
    <t>*.csv</t>
    <phoneticPr fontId="1"/>
  </si>
  <si>
    <t>DigitalIO</t>
    <phoneticPr fontId="1"/>
  </si>
  <si>
    <t>0x0000000C</t>
    <phoneticPr fontId="1"/>
  </si>
  <si>
    <t>システム固定設定をIoTDSDataSys.xmlに出力するよう修正
　FTP_BACKUP_TEMP_FILESをCSVすべてに変更
メモリ容量警告閾値 100-&gt;250
メモリ容量エラー閾値 30-&gt;100</t>
    <rPh sb="4" eb="6">
      <t>コテイ</t>
    </rPh>
    <rPh sb="6" eb="8">
      <t>セッテイ</t>
    </rPh>
    <rPh sb="26" eb="28">
      <t>シュツリョク</t>
    </rPh>
    <rPh sb="32" eb="34">
      <t>シュウセイ</t>
    </rPh>
    <rPh sb="65" eb="67">
      <t>ヘンコウ</t>
    </rPh>
    <phoneticPr fontId="1"/>
  </si>
  <si>
    <t>SerialIP</t>
    <phoneticPr fontId="1"/>
  </si>
  <si>
    <t>SerialIP</t>
    <phoneticPr fontId="1"/>
  </si>
  <si>
    <t>SIP_COM00_SERVER_ADDRESS</t>
  </si>
  <si>
    <t>SIP_COM00_SERVER_PORT</t>
  </si>
  <si>
    <t>SIP_COM00_OUTBOUND_ENABLED</t>
  </si>
  <si>
    <t>SIP_COM00_INCOMING_PORT</t>
  </si>
  <si>
    <t>SIP_COM00_INBOUND_ENABLED</t>
  </si>
  <si>
    <t>SIP_COM00_TELNET_PROTOCOL</t>
  </si>
  <si>
    <t>SIP_COM00_DCD_EMULATION</t>
  </si>
  <si>
    <t>SIP_COM00_DSR_EMULATION</t>
  </si>
  <si>
    <t>SIP_COM00_CTS_EMULATION</t>
  </si>
  <si>
    <t>SIP_COM00_USER_AUTHENTICATION</t>
  </si>
  <si>
    <t>SIP_COM00_USERNAME</t>
  </si>
  <si>
    <t>SIP_COM00_PASSWORD</t>
  </si>
  <si>
    <t>SIP_COM00_ENCRYPTION_PROTOCOL</t>
  </si>
  <si>
    <t>CIFX5 EtherNet/IP DHCP有効(0:無効|1:有効)</t>
    <phoneticPr fontId="1"/>
  </si>
  <si>
    <t>SIP_COM01_SERVER_ADDRESS</t>
  </si>
  <si>
    <t>SIP_COM01_SERVER_PORT</t>
  </si>
  <si>
    <t>SIP_COM01_OUTBOUND_ENABLED</t>
  </si>
  <si>
    <t>SIP_COM01_INCOMING_PORT</t>
  </si>
  <si>
    <t>SIP_COM01_INBOUND_ENABLED</t>
  </si>
  <si>
    <t>SIP_COM01_TELNET_PROTOCOL</t>
  </si>
  <si>
    <t>SIP_COM01_DCD_EMULATION</t>
  </si>
  <si>
    <t>SIP_COM01_DSR_EMULATION</t>
  </si>
  <si>
    <t>SIP_COM01_CTS_EMULATION</t>
  </si>
  <si>
    <t>SIP_COM01_RESTORE_FAILED_CONNECTS</t>
  </si>
  <si>
    <t>SIP_COM01_USER_AUTHENTICATION</t>
  </si>
  <si>
    <t>SIP_COM01_USERNAME</t>
  </si>
  <si>
    <t>SIP_COM01_PASSWORD</t>
  </si>
  <si>
    <t>SIP_COM01_ENCRYPTION_PROTOCOL</t>
  </si>
  <si>
    <t>SIP_COM00_PORT_NO</t>
  </si>
  <si>
    <t>SIP_COM01_PORT_NO</t>
  </si>
  <si>
    <t>SIP_SELECT_PORT</t>
    <phoneticPr fontId="1"/>
  </si>
  <si>
    <t>SerialIP COM00 COMポート番号</t>
  </si>
  <si>
    <t>SerialIP COM00 サーバーアドレス</t>
  </si>
  <si>
    <t>SerialIP COM00 サーバーポート</t>
  </si>
  <si>
    <t>SerialIP COM00 送信有効フラグ(0:無効|1:有効)</t>
  </si>
  <si>
    <t>SerialIP COM00 受信ポート</t>
  </si>
  <si>
    <t>SerialIP COM00 受信有効フラグ(0:無効|1:有効)</t>
  </si>
  <si>
    <t>SerialIP COM00 Telnetプロトコル(0:None|1:TSTelnet|2:CrPadding)</t>
  </si>
  <si>
    <t>SerialIP COM00 DCDエミュレーション(0:None|1:AlwaysHigh|2:AlwaysLow|3:TrackConnection)</t>
  </si>
  <si>
    <t>SerialIP COM00 DSRエミュレーション(0:None|1:AlwaysHigh|2:AlwaysLow|3:TrackConnection)</t>
  </si>
  <si>
    <t>SerialIP COM00 CTSエミュレーション(0:None|1:AlwaysHigh|2:AlwaysLow|3:TrackConnection)</t>
  </si>
  <si>
    <t>SerialIP COM00 DTRモデムエスケープフラグ(0:無効|1:有効)</t>
  </si>
  <si>
    <t>SerialIP COM00 Failed接続復元フラグ(0:無効|1:有効)</t>
  </si>
  <si>
    <t>SerialIP COM00 ユーザー認証(0:None|1:PromptAtLogin|2:Windows|3:Fixed|4:PromptAtPortOpen)</t>
  </si>
  <si>
    <t>SerialIP COM00 ユーザー名</t>
  </si>
  <si>
    <t>SerialIP COM00 パスワード</t>
  </si>
  <si>
    <t>SerialIP COM00 暗号化プロトコル(0:None|1:SSLv3|2:TLSv1|3:Any)</t>
  </si>
  <si>
    <t>SerialIP COM01 COMポート番号</t>
  </si>
  <si>
    <t>SerialIP COM01 サーバーアドレス</t>
  </si>
  <si>
    <t>SerialIP COM01 サーバーポート</t>
  </si>
  <si>
    <t>SerialIP COM01 送信有効フラグ(0:無効|1:有効)</t>
  </si>
  <si>
    <t>SerialIP COM01 受信ポート</t>
  </si>
  <si>
    <t>SerialIP COM01 受信有効フラグ(0:無効|1:有効)</t>
  </si>
  <si>
    <t>SerialIP COM01 Telnetプロトコル(0:None|1:TSTelnet|2:CrPadding)</t>
  </si>
  <si>
    <t>SerialIP COM01 DCDエミュレーション(0:None|1:AlwaysHigh|2:AlwaysLow|3:TrackConnection)</t>
  </si>
  <si>
    <t>SerialIP COM01 DSRエミュレーション(0:None|1:AlwaysHigh|2:AlwaysLow|3:TrackConnection)</t>
  </si>
  <si>
    <t>SerialIP COM01 CTSエミュレーション(0:None|1:AlwaysHigh|2:AlwaysLow|3:TrackConnection)</t>
  </si>
  <si>
    <t>SerialIP COM01 DTRモデムエスケープフラグ(0:無効|1:有効)</t>
  </si>
  <si>
    <t>SerialIP COM01 Failed接続復元フラグ(0:無効|1:有効)</t>
  </si>
  <si>
    <t>SerialIP COM01 ユーザー認証(0:None|1:PromptAtLogin|2:Windows|3:Fixed|4:PromptAtPortOpen)</t>
  </si>
  <si>
    <t>SerialIP COM01 ユーザー名</t>
  </si>
  <si>
    <t>SerialIP COM01 パスワード</t>
  </si>
  <si>
    <t>SerialIP COM01 暗号化プロトコル(0:None|1:SSLv3|2:TLSv1|3:Any)</t>
  </si>
  <si>
    <t>SIP_COM00_RESTORE_FAILED_CONNECTS</t>
  </si>
  <si>
    <t>SerialIP COM02 COMポート番号</t>
  </si>
  <si>
    <t>SerialIP COM02 サーバーアドレス</t>
  </si>
  <si>
    <t>SerialIP COM02 サーバーポート</t>
  </si>
  <si>
    <t>SerialIP COM02 送信有効フラグ(0:無効|1:有効)</t>
  </si>
  <si>
    <t>SerialIP COM02 受信ポート</t>
  </si>
  <si>
    <t>SerialIP COM02 受信有効フラグ(0:無効|1:有効)</t>
  </si>
  <si>
    <t>SerialIP COM02 Telnetプロトコル(0:None|1:TSTelnet|2:CrPadding)</t>
  </si>
  <si>
    <t>SerialIP COM02 DCDエミュレーション(0:None|1:AlwaysHigh|2:AlwaysLow|3:TrackConnection)</t>
  </si>
  <si>
    <t>SerialIP COM02 DSRエミュレーション(0:None|1:AlwaysHigh|2:AlwaysLow|3:TrackConnection)</t>
  </si>
  <si>
    <t>SerialIP COM02 CTSエミュレーション(0:None|1:AlwaysHigh|2:AlwaysLow|3:TrackConnection)</t>
  </si>
  <si>
    <t>SerialIP COM02 DTRモデムエスケープフラグ(0:無効|1:有効)</t>
  </si>
  <si>
    <t>SerialIP COM02 Failed接続復元フラグ(0:無効|1:有効)</t>
  </si>
  <si>
    <t>SerialIP COM02 ユーザー認証(0:None|1:PromptAtLogin|2:Windows|3:Fixed|4:PromptAtPortOpen)</t>
  </si>
  <si>
    <t>SerialIP COM02 ユーザー名</t>
  </si>
  <si>
    <t>SerialIP COM02 パスワード</t>
  </si>
  <si>
    <t>SerialIP COM02 暗号化プロトコル(0:None|1:SSLv3|2:TLSv1|3:Any)</t>
  </si>
  <si>
    <t>SerialIP COM03 COMポート番号</t>
  </si>
  <si>
    <t>SerialIP COM03 サーバーアドレス</t>
  </si>
  <si>
    <t>SerialIP COM03 サーバーポート</t>
  </si>
  <si>
    <t>SerialIP COM03 送信有効フラグ(0:無効|1:有効)</t>
  </si>
  <si>
    <t>SerialIP COM03 受信ポート</t>
  </si>
  <si>
    <t>SerialIP COM03 受信有効フラグ(0:無効|1:有効)</t>
  </si>
  <si>
    <t>SerialIP COM03 Telnetプロトコル(0:None|1:TSTelnet|2:CrPadding)</t>
  </si>
  <si>
    <t>SerialIP COM03 DCDエミュレーション(0:None|1:AlwaysHigh|2:AlwaysLow|3:TrackConnection)</t>
  </si>
  <si>
    <t>SerialIP COM03 DSRエミュレーション(0:None|1:AlwaysHigh|2:AlwaysLow|3:TrackConnection)</t>
  </si>
  <si>
    <t>SerialIP COM03 CTSエミュレーション(0:None|1:AlwaysHigh|2:AlwaysLow|3:TrackConnection)</t>
  </si>
  <si>
    <t>SerialIP COM03 DTRモデムエスケープフラグ(0:無効|1:有効)</t>
  </si>
  <si>
    <t>SerialIP COM03 Failed接続復元フラグ(0:無効|1:有効)</t>
  </si>
  <si>
    <t>SerialIP COM03 ユーザー認証(0:None|1:PromptAtLogin|2:Windows|3:Fixed|4:PromptAtPortOpen)</t>
  </si>
  <si>
    <t>SerialIP COM03 ユーザー名</t>
  </si>
  <si>
    <t>SerialIP COM03 パスワード</t>
  </si>
  <si>
    <t>SerialIP COM03 暗号化プロトコル(0:None|1:SSLv3|2:TLSv1|3:Any)</t>
  </si>
  <si>
    <t>SerialIP COM04 COMポート番号</t>
  </si>
  <si>
    <t>SerialIP COM04 サーバーアドレス</t>
  </si>
  <si>
    <t>SerialIP COM04 サーバーポート</t>
  </si>
  <si>
    <t>SerialIP COM04 送信有効フラグ(0:無効|1:有効)</t>
  </si>
  <si>
    <t>SerialIP COM04 受信ポート</t>
  </si>
  <si>
    <t>SerialIP COM04 受信有効フラグ(0:無効|1:有効)</t>
  </si>
  <si>
    <t>SerialIP COM04 Telnetプロトコル(0:None|1:TSTelnet|2:CrPadding)</t>
  </si>
  <si>
    <t>SerialIP COM04 DCDエミュレーション(0:None|1:AlwaysHigh|2:AlwaysLow|3:TrackConnection)</t>
  </si>
  <si>
    <t>SerialIP COM04 DSRエミュレーション(0:None|1:AlwaysHigh|2:AlwaysLow|3:TrackConnection)</t>
  </si>
  <si>
    <t>SerialIP COM04 CTSエミュレーション(0:None|1:AlwaysHigh|2:AlwaysLow|3:TrackConnection)</t>
  </si>
  <si>
    <t>SerialIP COM04 DTRモデムエスケープフラグ(0:無効|1:有効)</t>
  </si>
  <si>
    <t>SerialIP COM04 Failed接続復元フラグ(0:無効|1:有効)</t>
  </si>
  <si>
    <t>SerialIP COM04 ユーザー認証(0:None|1:PromptAtLogin|2:Windows|3:Fixed|4:PromptAtPortOpen)</t>
  </si>
  <si>
    <t>SerialIP COM04 ユーザー名</t>
  </si>
  <si>
    <t>SerialIP COM04 パスワード</t>
  </si>
  <si>
    <t>SerialIP COM04 暗号化プロトコル(0:None|1:SSLv3|2:TLSv1|3:Any)</t>
  </si>
  <si>
    <t>SerialIP COM05 COMポート番号</t>
  </si>
  <si>
    <t>SerialIP COM05 サーバーアドレス</t>
  </si>
  <si>
    <t>SerialIP COM05 サーバーポート</t>
  </si>
  <si>
    <t>SerialIP COM05 送信有効フラグ(0:無効|1:有効)</t>
  </si>
  <si>
    <t>SerialIP COM05 受信ポート</t>
  </si>
  <si>
    <t>SerialIP COM05 受信有効フラグ(0:無効|1:有効)</t>
  </si>
  <si>
    <t>SerialIP COM05 Telnetプロトコル(0:None|1:TSTelnet|2:CrPadding)</t>
  </si>
  <si>
    <t>SerialIP COM05 DCDエミュレーション(0:None|1:AlwaysHigh|2:AlwaysLow|3:TrackConnection)</t>
  </si>
  <si>
    <t>SerialIP COM05 DSRエミュレーション(0:None|1:AlwaysHigh|2:AlwaysLow|3:TrackConnection)</t>
  </si>
  <si>
    <t>SerialIP COM05 CTSエミュレーション(0:None|1:AlwaysHigh|2:AlwaysLow|3:TrackConnection)</t>
  </si>
  <si>
    <t>SerialIP COM05 DTRモデムエスケープフラグ(0:無効|1:有効)</t>
  </si>
  <si>
    <t>SerialIP COM05 Failed接続復元フラグ(0:無効|1:有効)</t>
  </si>
  <si>
    <t>SerialIP COM05 ユーザー認証(0:None|1:PromptAtLogin|2:Windows|3:Fixed|4:PromptAtPortOpen)</t>
  </si>
  <si>
    <t>SerialIP COM05 ユーザー名</t>
  </si>
  <si>
    <t>SerialIP COM05 パスワード</t>
  </si>
  <si>
    <t>SerialIP COM05 暗号化プロトコル(0:None|1:SSLv3|2:TLSv1|3:Any)</t>
  </si>
  <si>
    <t>SerialIP COM06 COMポート番号</t>
  </si>
  <si>
    <t>SerialIP COM06 サーバーアドレス</t>
  </si>
  <si>
    <t>SerialIP COM06 サーバーポート</t>
  </si>
  <si>
    <t>SerialIP COM06 送信有効フラグ(0:無効|1:有効)</t>
  </si>
  <si>
    <t>SerialIP COM06 受信ポート</t>
  </si>
  <si>
    <t>SerialIP COM06 受信有効フラグ(0:無効|1:有効)</t>
  </si>
  <si>
    <t>SerialIP COM06 Telnetプロトコル(0:None|1:TSTelnet|2:CrPadding)</t>
  </si>
  <si>
    <t>SerialIP COM06 DCDエミュレーション(0:None|1:AlwaysHigh|2:AlwaysLow|3:TrackConnection)</t>
  </si>
  <si>
    <t>SerialIP COM06 DSRエミュレーション(0:None|1:AlwaysHigh|2:AlwaysLow|3:TrackConnection)</t>
  </si>
  <si>
    <t>SerialIP COM06 CTSエミュレーション(0:None|1:AlwaysHigh|2:AlwaysLow|3:TrackConnection)</t>
  </si>
  <si>
    <t>SerialIP COM06 DTRモデムエスケープフラグ(0:無効|1:有効)</t>
  </si>
  <si>
    <t>SerialIP COM06 Failed接続復元フラグ(0:無効|1:有効)</t>
  </si>
  <si>
    <t>SerialIP COM06 ユーザー認証(0:None|1:PromptAtLogin|2:Windows|3:Fixed|4:PromptAtPortOpen)</t>
  </si>
  <si>
    <t>SerialIP COM06 ユーザー名</t>
  </si>
  <si>
    <t>SerialIP COM06 パスワード</t>
  </si>
  <si>
    <t>SerialIP COM06 暗号化プロトコル(0:None|1:SSLv3|2:TLSv1|3:Any)</t>
  </si>
  <si>
    <t>SerialIP COM07 COMポート番号</t>
  </si>
  <si>
    <t>SerialIP COM07 サーバーアドレス</t>
  </si>
  <si>
    <t>SerialIP COM07 サーバーポート</t>
  </si>
  <si>
    <t>SerialIP COM07 送信有効フラグ(0:無効|1:有効)</t>
  </si>
  <si>
    <t>SerialIP COM07 受信ポート</t>
  </si>
  <si>
    <t>SerialIP COM07 受信有効フラグ(0:無効|1:有効)</t>
  </si>
  <si>
    <t>SerialIP COM07 Telnetプロトコル(0:None|1:TSTelnet|2:CrPadding)</t>
  </si>
  <si>
    <t>SerialIP COM07 DCDエミュレーション(0:None|1:AlwaysHigh|2:AlwaysLow|3:TrackConnection)</t>
  </si>
  <si>
    <t>SerialIP COM07 DSRエミュレーション(0:None|1:AlwaysHigh|2:AlwaysLow|3:TrackConnection)</t>
  </si>
  <si>
    <t>SerialIP COM07 CTSエミュレーション(0:None|1:AlwaysHigh|2:AlwaysLow|3:TrackConnection)</t>
  </si>
  <si>
    <t>SerialIP COM07 DTRモデムエスケープフラグ(0:無効|1:有効)</t>
  </si>
  <si>
    <t>SerialIP COM07 Failed接続復元フラグ(0:無効|1:有効)</t>
  </si>
  <si>
    <t>SerialIP COM07 ユーザー認証(0:None|1:PromptAtLogin|2:Windows|3:Fixed|4:PromptAtPortOpen)</t>
  </si>
  <si>
    <t>SerialIP COM07 ユーザー名</t>
  </si>
  <si>
    <t>SerialIP COM07 パスワード</t>
  </si>
  <si>
    <t>SerialIP COM07 暗号化プロトコル(0:None|1:SSLv3|2:TLSv1|3:Any)</t>
  </si>
  <si>
    <t>SerialIP COM08 COMポート番号</t>
  </si>
  <si>
    <t>SerialIP COM08 サーバーアドレス</t>
  </si>
  <si>
    <t>SerialIP COM08 サーバーポート</t>
  </si>
  <si>
    <t>SerialIP COM08 送信有効フラグ(0:無効|1:有効)</t>
  </si>
  <si>
    <t>SerialIP COM08 受信ポート</t>
  </si>
  <si>
    <t>SerialIP COM08 受信有効フラグ(0:無効|1:有効)</t>
  </si>
  <si>
    <t>SerialIP COM08 Telnetプロトコル(0:None|1:TSTelnet|2:CrPadding)</t>
  </si>
  <si>
    <t>SerialIP COM08 DCDエミュレーション(0:None|1:AlwaysHigh|2:AlwaysLow|3:TrackConnection)</t>
  </si>
  <si>
    <t>SerialIP COM08 DSRエミュレーション(0:None|1:AlwaysHigh|2:AlwaysLow|3:TrackConnection)</t>
  </si>
  <si>
    <t>SerialIP COM08 CTSエミュレーション(0:None|1:AlwaysHigh|2:AlwaysLow|3:TrackConnection)</t>
  </si>
  <si>
    <t>SerialIP COM08 DTRモデムエスケープフラグ(0:無効|1:有効)</t>
  </si>
  <si>
    <t>SerialIP COM08 Failed接続復元フラグ(0:無効|1:有効)</t>
  </si>
  <si>
    <t>SerialIP COM08 ユーザー認証(0:None|1:PromptAtLogin|2:Windows|3:Fixed|4:PromptAtPortOpen)</t>
  </si>
  <si>
    <t>SerialIP COM08 ユーザー名</t>
  </si>
  <si>
    <t>SerialIP COM08 パスワード</t>
  </si>
  <si>
    <t>SerialIP COM08 暗号化プロトコル(0:None|1:SSLv3|2:TLSv1|3:Any)</t>
  </si>
  <si>
    <t>SerialIP COM09 COMポート番号</t>
  </si>
  <si>
    <t>SerialIP COM09 サーバーアドレス</t>
  </si>
  <si>
    <t>SerialIP COM09 サーバーポート</t>
  </si>
  <si>
    <t>SerialIP COM09 送信有効フラグ(0:無効|1:有効)</t>
  </si>
  <si>
    <t>SerialIP COM09 受信ポート</t>
  </si>
  <si>
    <t>SerialIP COM09 受信有効フラグ(0:無効|1:有効)</t>
  </si>
  <si>
    <t>SerialIP COM09 Telnetプロトコル(0:None|1:TSTelnet|2:CrPadding)</t>
  </si>
  <si>
    <t>SerialIP COM09 DCDエミュレーション(0:None|1:AlwaysHigh|2:AlwaysLow|3:TrackConnection)</t>
  </si>
  <si>
    <t>SerialIP COM09 DSRエミュレーション(0:None|1:AlwaysHigh|2:AlwaysLow|3:TrackConnection)</t>
  </si>
  <si>
    <t>SerialIP COM09 CTSエミュレーション(0:None|1:AlwaysHigh|2:AlwaysLow|3:TrackConnection)</t>
  </si>
  <si>
    <t>SerialIP COM09 DTRモデムエスケープフラグ(0:無効|1:有効)</t>
  </si>
  <si>
    <t>SerialIP COM09 Failed接続復元フラグ(0:無効|1:有効)</t>
  </si>
  <si>
    <t>SerialIP COM09 ユーザー認証(0:None|1:PromptAtLogin|2:Windows|3:Fixed|4:PromptAtPortOpen)</t>
  </si>
  <si>
    <t>SerialIP COM09 ユーザー名</t>
  </si>
  <si>
    <t>SerialIP COM09 パスワード</t>
  </si>
  <si>
    <t>SerialIP COM09 暗号化プロトコル(0:None|1:SSLv3|2:TLSv1|3:Any)</t>
  </si>
  <si>
    <t>SIP_COM02_PORT_NO</t>
  </si>
  <si>
    <t>SIP_COM02_SERVER_ADDRESS</t>
  </si>
  <si>
    <t>SIP_COM02_SERVER_PORT</t>
  </si>
  <si>
    <t>SIP_COM02_OUTBOUND_ENABLED</t>
  </si>
  <si>
    <t>SIP_COM02_INCOMING_PORT</t>
  </si>
  <si>
    <t>SIP_COM02_INBOUND_ENABLED</t>
  </si>
  <si>
    <t>SIP_COM02_TELNET_PROTOCOL</t>
  </si>
  <si>
    <t>SIP_COM02_DCD_EMULATION</t>
  </si>
  <si>
    <t>SIP_COM02_DSR_EMULATION</t>
  </si>
  <si>
    <t>SIP_COM02_CTS_EMULATION</t>
  </si>
  <si>
    <t>SIP_COM02_RESTORE_FAILED_CONNECTS</t>
  </si>
  <si>
    <t>SIP_COM02_USER_AUTHENTICATION</t>
  </si>
  <si>
    <t>SIP_COM02_USERNAME</t>
  </si>
  <si>
    <t>SIP_COM02_PASSWORD</t>
  </si>
  <si>
    <t>SIP_COM02_ENCRYPTION_PROTOCOL</t>
  </si>
  <si>
    <t>SIP_COM03_PORT_NO</t>
  </si>
  <si>
    <t>SIP_COM03_SERVER_ADDRESS</t>
  </si>
  <si>
    <t>SIP_COM03_SERVER_PORT</t>
  </si>
  <si>
    <t>SIP_COM03_OUTBOUND_ENABLED</t>
  </si>
  <si>
    <t>SIP_COM03_INCOMING_PORT</t>
  </si>
  <si>
    <t>SIP_COM03_INBOUND_ENABLED</t>
  </si>
  <si>
    <t>SIP_COM03_TELNET_PROTOCOL</t>
  </si>
  <si>
    <t>SIP_COM03_DCD_EMULATION</t>
  </si>
  <si>
    <t>SIP_COM03_DSR_EMULATION</t>
  </si>
  <si>
    <t>SIP_COM03_CTS_EMULATION</t>
  </si>
  <si>
    <t>SIP_COM03_RESTORE_FAILED_CONNECTS</t>
  </si>
  <si>
    <t>SIP_COM03_USER_AUTHENTICATION</t>
  </si>
  <si>
    <t>SIP_COM03_USERNAME</t>
  </si>
  <si>
    <t>SIP_COM03_PASSWORD</t>
  </si>
  <si>
    <t>SIP_COM03_ENCRYPTION_PROTOCOL</t>
  </si>
  <si>
    <t>SIP_COM04_PORT_NO</t>
  </si>
  <si>
    <t>SIP_COM04_SERVER_ADDRESS</t>
  </si>
  <si>
    <t>SIP_COM04_SERVER_PORT</t>
  </si>
  <si>
    <t>SIP_COM04_OUTBOUND_ENABLED</t>
  </si>
  <si>
    <t>SIP_COM04_INCOMING_PORT</t>
  </si>
  <si>
    <t>SIP_COM04_INBOUND_ENABLED</t>
  </si>
  <si>
    <t>SIP_COM04_TELNET_PROTOCOL</t>
  </si>
  <si>
    <t>SIP_COM04_DCD_EMULATION</t>
  </si>
  <si>
    <t>SIP_COM04_DSR_EMULATION</t>
  </si>
  <si>
    <t>SIP_COM04_CTS_EMULATION</t>
  </si>
  <si>
    <t>SIP_COM04_RESTORE_FAILED_CONNECTS</t>
  </si>
  <si>
    <t>SIP_COM04_USER_AUTHENTICATION</t>
  </si>
  <si>
    <t>SIP_COM04_USERNAME</t>
  </si>
  <si>
    <t>SIP_COM04_PASSWORD</t>
  </si>
  <si>
    <t>SIP_COM04_ENCRYPTION_PROTOCOL</t>
  </si>
  <si>
    <t>SIP_COM05_PORT_NO</t>
  </si>
  <si>
    <t>SIP_COM05_SERVER_ADDRESS</t>
  </si>
  <si>
    <t>SIP_COM05_SERVER_PORT</t>
  </si>
  <si>
    <t>SIP_COM05_OUTBOUND_ENABLED</t>
  </si>
  <si>
    <t>SIP_COM05_INCOMING_PORT</t>
  </si>
  <si>
    <t>SIP_COM05_INBOUND_ENABLED</t>
  </si>
  <si>
    <t>SIP_COM05_TELNET_PROTOCOL</t>
  </si>
  <si>
    <t>SIP_COM05_DCD_EMULATION</t>
  </si>
  <si>
    <t>SIP_COM05_DSR_EMULATION</t>
  </si>
  <si>
    <t>SIP_COM05_CTS_EMULATION</t>
  </si>
  <si>
    <t>SIP_COM05_RESTORE_FAILED_CONNECTS</t>
  </si>
  <si>
    <t>SIP_COM05_USER_AUTHENTICATION</t>
  </si>
  <si>
    <t>SIP_COM05_USERNAME</t>
  </si>
  <si>
    <t>SIP_COM05_PASSWORD</t>
  </si>
  <si>
    <t>SIP_COM05_ENCRYPTION_PROTOCOL</t>
  </si>
  <si>
    <t>SIP_COM06_PORT_NO</t>
  </si>
  <si>
    <t>SIP_COM06_SERVER_ADDRESS</t>
  </si>
  <si>
    <t>SIP_COM06_SERVER_PORT</t>
  </si>
  <si>
    <t>SIP_COM06_OUTBOUND_ENABLED</t>
  </si>
  <si>
    <t>SIP_COM06_INCOMING_PORT</t>
  </si>
  <si>
    <t>SIP_COM06_INBOUND_ENABLED</t>
  </si>
  <si>
    <t>SIP_COM06_TELNET_PROTOCOL</t>
  </si>
  <si>
    <t>SIP_COM06_DCD_EMULATION</t>
  </si>
  <si>
    <t>SIP_COM06_DSR_EMULATION</t>
  </si>
  <si>
    <t>SIP_COM06_CTS_EMULATION</t>
  </si>
  <si>
    <t>SIP_COM06_RESTORE_FAILED_CONNECTS</t>
  </si>
  <si>
    <t>SIP_COM06_USER_AUTHENTICATION</t>
  </si>
  <si>
    <t>SIP_COM06_USERNAME</t>
  </si>
  <si>
    <t>SIP_COM06_PASSWORD</t>
  </si>
  <si>
    <t>SIP_COM06_ENCRYPTION_PROTOCOL</t>
  </si>
  <si>
    <t>SIP_COM07_PORT_NO</t>
  </si>
  <si>
    <t>SIP_COM07_SERVER_ADDRESS</t>
  </si>
  <si>
    <t>SIP_COM07_SERVER_PORT</t>
  </si>
  <si>
    <t>SIP_COM07_OUTBOUND_ENABLED</t>
  </si>
  <si>
    <t>SIP_COM07_INCOMING_PORT</t>
  </si>
  <si>
    <t>SIP_COM07_INBOUND_ENABLED</t>
  </si>
  <si>
    <t>SIP_COM07_TELNET_PROTOCOL</t>
  </si>
  <si>
    <t>SIP_COM07_DCD_EMULATION</t>
  </si>
  <si>
    <t>SIP_COM07_DSR_EMULATION</t>
  </si>
  <si>
    <t>SIP_COM07_CTS_EMULATION</t>
  </si>
  <si>
    <t>SIP_COM07_RESTORE_FAILED_CONNECTS</t>
  </si>
  <si>
    <t>SIP_COM07_USER_AUTHENTICATION</t>
  </si>
  <si>
    <t>SIP_COM07_USERNAME</t>
  </si>
  <si>
    <t>SIP_COM07_PASSWORD</t>
  </si>
  <si>
    <t>SIP_COM07_ENCRYPTION_PROTOCOL</t>
  </si>
  <si>
    <t>SIP_COM08_PORT_NO</t>
  </si>
  <si>
    <t>SIP_COM08_SERVER_ADDRESS</t>
  </si>
  <si>
    <t>SIP_COM08_SERVER_PORT</t>
  </si>
  <si>
    <t>SIP_COM08_OUTBOUND_ENABLED</t>
  </si>
  <si>
    <t>SIP_COM08_INCOMING_PORT</t>
  </si>
  <si>
    <t>SIP_COM08_INBOUND_ENABLED</t>
  </si>
  <si>
    <t>SIP_COM08_TELNET_PROTOCOL</t>
  </si>
  <si>
    <t>SIP_COM08_DCD_EMULATION</t>
  </si>
  <si>
    <t>SIP_COM08_DSR_EMULATION</t>
  </si>
  <si>
    <t>SIP_COM08_CTS_EMULATION</t>
  </si>
  <si>
    <t>SIP_COM08_RESTORE_FAILED_CONNECTS</t>
  </si>
  <si>
    <t>SIP_COM08_USER_AUTHENTICATION</t>
  </si>
  <si>
    <t>SIP_COM08_USERNAME</t>
  </si>
  <si>
    <t>SIP_COM08_PASSWORD</t>
  </si>
  <si>
    <t>SIP_COM08_ENCRYPTION_PROTOCOL</t>
  </si>
  <si>
    <t>SIP_COM09_PORT_NO</t>
  </si>
  <si>
    <t>SIP_COM09_SERVER_ADDRESS</t>
  </si>
  <si>
    <t>SIP_COM09_SERVER_PORT</t>
  </si>
  <si>
    <t>SIP_COM09_OUTBOUND_ENABLED</t>
  </si>
  <si>
    <t>SIP_COM09_INCOMING_PORT</t>
  </si>
  <si>
    <t>SIP_COM09_INBOUND_ENABLED</t>
  </si>
  <si>
    <t>SIP_COM09_TELNET_PROTOCOL</t>
  </si>
  <si>
    <t>SIP_COM09_DCD_EMULATION</t>
  </si>
  <si>
    <t>SIP_COM09_DSR_EMULATION</t>
  </si>
  <si>
    <t>SIP_COM09_CTS_EMULATION</t>
  </si>
  <si>
    <t>SIP_COM09_RESTORE_FAILED_CONNECTS</t>
  </si>
  <si>
    <t>SIP_COM09_USER_AUTHENTICATION</t>
  </si>
  <si>
    <t>SIP_COM09_USERNAME</t>
  </si>
  <si>
    <t>SIP_COM09_PASSWORD</t>
  </si>
  <si>
    <t>SIP_COM09_ENCRYPTION_PROTOCOL</t>
  </si>
  <si>
    <t>SerialIP COM10 COMポート番号</t>
  </si>
  <si>
    <t>SIP_COM10_PORT_NO</t>
  </si>
  <si>
    <t>SerialIP COM10 サーバーアドレス</t>
  </si>
  <si>
    <t>SIP_COM10_SERVER_ADDRESS</t>
  </si>
  <si>
    <t>SerialIP COM10 サーバーポート</t>
  </si>
  <si>
    <t>SIP_COM10_SERVER_PORT</t>
  </si>
  <si>
    <t>SerialIP COM10 送信有効フラグ(0:無効|1:有効)</t>
  </si>
  <si>
    <t>SIP_COM10_OUTBOUND_ENABLED</t>
  </si>
  <si>
    <t>SerialIP COM10 受信ポート</t>
  </si>
  <si>
    <t>SIP_COM10_INCOMING_PORT</t>
  </si>
  <si>
    <t>SerialIP COM10 受信有効フラグ(0:無効|1:有効)</t>
  </si>
  <si>
    <t>SIP_COM10_INBOUND_ENABLED</t>
  </si>
  <si>
    <t>SerialIP COM10 Telnetプロトコル(0:None|1:TSTelnet|2:CrPadding)</t>
  </si>
  <si>
    <t>SIP_COM10_TELNET_PROTOCOL</t>
  </si>
  <si>
    <t>SerialIP COM10 DCDエミュレーション(0:None|1:AlwaysHigh|2:AlwaysLow|3:TrackConnection)</t>
  </si>
  <si>
    <t>SIP_COM10_DCD_EMULATION</t>
  </si>
  <si>
    <t>SerialIP COM10 DSRエミュレーション(0:None|1:AlwaysHigh|2:AlwaysLow|3:TrackConnection)</t>
  </si>
  <si>
    <t>SIP_COM10_DSR_EMULATION</t>
  </si>
  <si>
    <t>SerialIP COM10 CTSエミュレーション(0:None|1:AlwaysHigh|2:AlwaysLow|3:TrackConnection)</t>
  </si>
  <si>
    <t>SIP_COM10_CTS_EMULATION</t>
  </si>
  <si>
    <t>SerialIP COM10 DTRモデムエスケープフラグ(0:無効|1:有効)</t>
  </si>
  <si>
    <t>SerialIP COM10 Failed接続復元フラグ(0:無効|1:有効)</t>
  </si>
  <si>
    <t>SIP_COM10_RESTORE_FAILED_CONNECTS</t>
  </si>
  <si>
    <t>SerialIP COM10 ユーザー認証(0:None|1:PromptAtLogin|2:Windows|3:Fixed|4:PromptAtPortOpen)</t>
  </si>
  <si>
    <t>SIP_COM10_USER_AUTHENTICATION</t>
  </si>
  <si>
    <t>SerialIP COM10 ユーザー名</t>
  </si>
  <si>
    <t>SIP_COM10_USERNAME</t>
  </si>
  <si>
    <t>SerialIP COM10 パスワード</t>
  </si>
  <si>
    <t>SIP_COM10_PASSWORD</t>
  </si>
  <si>
    <t>SerialIP COM10 暗号化プロトコル(0:None|1:SSLv3|2:TLSv1|3:Any)</t>
  </si>
  <si>
    <t>SIP_COM10_ENCRYPTION_PROTOCOL</t>
  </si>
  <si>
    <t>SerialIP COM11 COMポート番号</t>
  </si>
  <si>
    <t>SIP_COM11_PORT_NO</t>
  </si>
  <si>
    <t>SerialIP COM11 サーバーアドレス</t>
  </si>
  <si>
    <t>SIP_COM11_SERVER_ADDRESS</t>
  </si>
  <si>
    <t>SerialIP COM11 サーバーポート</t>
  </si>
  <si>
    <t>SIP_COM11_SERVER_PORT</t>
  </si>
  <si>
    <t>SerialIP COM11 送信有効フラグ(0:無効|1:有効)</t>
  </si>
  <si>
    <t>SIP_COM11_OUTBOUND_ENABLED</t>
  </si>
  <si>
    <t>SerialIP COM11 受信ポート</t>
  </si>
  <si>
    <t>SIP_COM11_INCOMING_PORT</t>
  </si>
  <si>
    <t>SerialIP COM11 受信有効フラグ(0:無効|1:有効)</t>
  </si>
  <si>
    <t>SIP_COM11_INBOUND_ENABLED</t>
  </si>
  <si>
    <t>SerialIP COM11 Telnetプロトコル(0:None|1:TSTelnet|2:CrPadding)</t>
  </si>
  <si>
    <t>SIP_COM11_TELNET_PROTOCOL</t>
  </si>
  <si>
    <t>SerialIP COM11 DCDエミュレーション(0:None|1:AlwaysHigh|2:AlwaysLow|3:TrackConnection)</t>
  </si>
  <si>
    <t>SIP_COM11_DCD_EMULATION</t>
  </si>
  <si>
    <t>SerialIP COM11 DSRエミュレーション(0:None|1:AlwaysHigh|2:AlwaysLow|3:TrackConnection)</t>
  </si>
  <si>
    <t>SIP_COM11_DSR_EMULATION</t>
  </si>
  <si>
    <t>SerialIP COM11 CTSエミュレーション(0:None|1:AlwaysHigh|2:AlwaysLow|3:TrackConnection)</t>
  </si>
  <si>
    <t>SIP_COM11_CTS_EMULATION</t>
  </si>
  <si>
    <t>SerialIP COM11 DTRモデムエスケープフラグ(0:無効|1:有効)</t>
  </si>
  <si>
    <t>SerialIP COM11 Failed接続復元フラグ(0:無効|1:有効)</t>
  </si>
  <si>
    <t>SIP_COM11_RESTORE_FAILED_CONNECTS</t>
  </si>
  <si>
    <t>SerialIP COM11 ユーザー認証(0:None|1:PromptAtLogin|2:Windows|3:Fixed|4:PromptAtPortOpen)</t>
  </si>
  <si>
    <t>SIP_COM11_USER_AUTHENTICATION</t>
  </si>
  <si>
    <t>SerialIP COM11 ユーザー名</t>
  </si>
  <si>
    <t>SIP_COM11_USERNAME</t>
  </si>
  <si>
    <t>SerialIP COM11 パスワード</t>
  </si>
  <si>
    <t>SIP_COM11_PASSWORD</t>
  </si>
  <si>
    <t>SerialIP COM11 暗号化プロトコル(0:None|1:SSLv3|2:TLSv1|3:Any)</t>
  </si>
  <si>
    <t>SIP_COM11_ENCRYPTION_PROTOCOL</t>
  </si>
  <si>
    <t>SerialIP COM12 COMポート番号</t>
  </si>
  <si>
    <t>SIP_COM12_PORT_NO</t>
  </si>
  <si>
    <t>SerialIP COM12 サーバーアドレス</t>
  </si>
  <si>
    <t>SIP_COM12_SERVER_ADDRESS</t>
  </si>
  <si>
    <t>SerialIP COM12 サーバーポート</t>
  </si>
  <si>
    <t>SIP_COM12_SERVER_PORT</t>
  </si>
  <si>
    <t>SerialIP COM12 送信有効フラグ(0:無効|1:有効)</t>
  </si>
  <si>
    <t>SIP_COM12_OUTBOUND_ENABLED</t>
  </si>
  <si>
    <t>SerialIP COM12 受信ポート</t>
  </si>
  <si>
    <t>SIP_COM12_INCOMING_PORT</t>
  </si>
  <si>
    <t>SerialIP COM12 受信有効フラグ(0:無効|1:有効)</t>
  </si>
  <si>
    <t>SIP_COM12_INBOUND_ENABLED</t>
  </si>
  <si>
    <t>SerialIP COM12 Telnetプロトコル(0:None|1:TSTelnet|2:CrPadding)</t>
  </si>
  <si>
    <t>SIP_COM12_TELNET_PROTOCOL</t>
  </si>
  <si>
    <t>SerialIP COM12 DCDエミュレーション(0:None|1:AlwaysHigh|2:AlwaysLow|3:TrackConnection)</t>
  </si>
  <si>
    <t>SIP_COM12_DCD_EMULATION</t>
  </si>
  <si>
    <t>SerialIP COM12 DSRエミュレーション(0:None|1:AlwaysHigh|2:AlwaysLow|3:TrackConnection)</t>
  </si>
  <si>
    <t>SIP_COM12_DSR_EMULATION</t>
  </si>
  <si>
    <t>SerialIP COM12 CTSエミュレーション(0:None|1:AlwaysHigh|2:AlwaysLow|3:TrackConnection)</t>
  </si>
  <si>
    <t>SIP_COM12_CTS_EMULATION</t>
  </si>
  <si>
    <t>SerialIP COM12 DTRモデムエスケープフラグ(0:無効|1:有効)</t>
  </si>
  <si>
    <t>SerialIP COM12 Failed接続復元フラグ(0:無効|1:有効)</t>
  </si>
  <si>
    <t>SIP_COM12_RESTORE_FAILED_CONNECTS</t>
  </si>
  <si>
    <t>SerialIP COM12 ユーザー認証(0:None|1:PromptAtLogin|2:Windows|3:Fixed|4:PromptAtPortOpen)</t>
  </si>
  <si>
    <t>SIP_COM12_USER_AUTHENTICATION</t>
  </si>
  <si>
    <t>SerialIP COM12 ユーザー名</t>
  </si>
  <si>
    <t>SIP_COM12_USERNAME</t>
  </si>
  <si>
    <t>SerialIP COM12 パスワード</t>
  </si>
  <si>
    <t>SIP_COM12_PASSWORD</t>
  </si>
  <si>
    <t>SerialIP COM12 暗号化プロトコル(0:None|1:SSLv3|2:TLSv1|3:Any)</t>
  </si>
  <si>
    <t>SIP_COM12_ENCRYPTION_PROTOCOL</t>
  </si>
  <si>
    <t>SerialIP COM13 COMポート番号</t>
  </si>
  <si>
    <t>SerialIP COM13 サーバーアドレス</t>
  </si>
  <si>
    <t>SIP_COM13_SERVER_ADDRESS</t>
  </si>
  <si>
    <t>SerialIP COM13 サーバーポート</t>
  </si>
  <si>
    <t>SIP_COM13_SERVER_PORT</t>
  </si>
  <si>
    <t>SerialIP COM13 送信有効フラグ(0:無効|1:有効)</t>
  </si>
  <si>
    <t>SIP_COM13_OUTBOUND_ENABLED</t>
  </si>
  <si>
    <t>SerialIP COM13 受信ポート</t>
  </si>
  <si>
    <t>SIP_COM13_INCOMING_PORT</t>
  </si>
  <si>
    <t>SerialIP COM13 受信有効フラグ(0:無効|1:有効)</t>
  </si>
  <si>
    <t>SIP_COM13_INBOUND_ENABLED</t>
  </si>
  <si>
    <t>SerialIP COM13 Telnetプロトコル(0:None|1:TSTelnet|2:CrPadding)</t>
  </si>
  <si>
    <t>SIP_COM13_TELNET_PROTOCOL</t>
  </si>
  <si>
    <t>SerialIP COM13 DCDエミュレーション(0:None|1:AlwaysHigh|2:AlwaysLow|3:TrackConnection)</t>
  </si>
  <si>
    <t>SIP_COM13_DCD_EMULATION</t>
  </si>
  <si>
    <t>SerialIP COM13 DSRエミュレーション(0:None|1:AlwaysHigh|2:AlwaysLow|3:TrackConnection)</t>
  </si>
  <si>
    <t>SIP_COM13_DSR_EMULATION</t>
  </si>
  <si>
    <t>SerialIP COM13 CTSエミュレーション(0:None|1:AlwaysHigh|2:AlwaysLow|3:TrackConnection)</t>
  </si>
  <si>
    <t>SIP_COM13_CTS_EMULATION</t>
  </si>
  <si>
    <t>SerialIP COM13 DTRモデムエスケープフラグ(0:無効|1:有効)</t>
  </si>
  <si>
    <t>SerialIP COM13 Failed接続復元フラグ(0:無効|1:有効)</t>
  </si>
  <si>
    <t>SIP_COM13_RESTORE_FAILED_CONNECTS</t>
  </si>
  <si>
    <t>SerialIP COM13 ユーザー認証(0:None|1:PromptAtLogin|2:Windows|3:Fixed|4:PromptAtPortOpen)</t>
  </si>
  <si>
    <t>SIP_COM13_USER_AUTHENTICATION</t>
  </si>
  <si>
    <t>SerialIP COM13 ユーザー名</t>
  </si>
  <si>
    <t>SIP_COM13_USERNAME</t>
  </si>
  <si>
    <t>SerialIP COM13 パスワード</t>
  </si>
  <si>
    <t>SIP_COM13_PASSWORD</t>
  </si>
  <si>
    <t>SerialIP COM13 暗号化プロトコル(0:None|1:SSLv3|2:TLSv1|3:Any)</t>
  </si>
  <si>
    <t>SIP_COM13_ENCRYPTION_PROTOCOL</t>
  </si>
  <si>
    <t>SerialIP COM14 COMポート番号</t>
  </si>
  <si>
    <t>SIP_COM14_PORT_NO</t>
  </si>
  <si>
    <t>SerialIP COM14 サーバーアドレス</t>
  </si>
  <si>
    <t>SIP_COM14_SERVER_ADDRESS</t>
  </si>
  <si>
    <t>SerialIP COM14 サーバーポート</t>
  </si>
  <si>
    <t>SIP_COM14_SERVER_PORT</t>
  </si>
  <si>
    <t>SerialIP COM14 送信有効フラグ(0:無効|1:有効)</t>
  </si>
  <si>
    <t>SIP_COM14_OUTBOUND_ENABLED</t>
  </si>
  <si>
    <t>SerialIP COM14 受信ポート</t>
  </si>
  <si>
    <t>SIP_COM14_INCOMING_PORT</t>
  </si>
  <si>
    <t>SerialIP COM14 受信有効フラグ(0:無効|1:有効)</t>
  </si>
  <si>
    <t>SIP_COM14_INBOUND_ENABLED</t>
  </si>
  <si>
    <t>SerialIP COM14 Telnetプロトコル(0:None|1:TSTelnet|2:CrPadding)</t>
  </si>
  <si>
    <t>SIP_COM14_TELNET_PROTOCOL</t>
  </si>
  <si>
    <t>SerialIP COM14 DCDエミュレーション(0:None|1:AlwaysHigh|2:AlwaysLow|3:TrackConnection)</t>
  </si>
  <si>
    <t>SIP_COM14_DCD_EMULATION</t>
  </si>
  <si>
    <t>SerialIP COM14 DSRエミュレーション(0:None|1:AlwaysHigh|2:AlwaysLow|3:TrackConnection)</t>
  </si>
  <si>
    <t>SIP_COM14_DSR_EMULATION</t>
  </si>
  <si>
    <t>SerialIP COM14 CTSエミュレーション(0:None|1:AlwaysHigh|2:AlwaysLow|3:TrackConnection)</t>
  </si>
  <si>
    <t>SIP_COM14_CTS_EMULATION</t>
  </si>
  <si>
    <t>SerialIP COM14 DTRモデムエスケープフラグ(0:無効|1:有効)</t>
  </si>
  <si>
    <t>SerialIP COM14 Failed接続復元フラグ(0:無効|1:有効)</t>
  </si>
  <si>
    <t>SIP_COM14_RESTORE_FAILED_CONNECTS</t>
  </si>
  <si>
    <t>SerialIP COM14 ユーザー認証(0:None|1:PromptAtLogin|2:Windows|3:Fixed|4:PromptAtPortOpen)</t>
  </si>
  <si>
    <t>SIP_COM14_USER_AUTHENTICATION</t>
  </si>
  <si>
    <t>SerialIP COM14 ユーザー名</t>
  </si>
  <si>
    <t>SIP_COM14_USERNAME</t>
  </si>
  <si>
    <t>SerialIP COM14 パスワード</t>
  </si>
  <si>
    <t>SIP_COM14_PASSWORD</t>
  </si>
  <si>
    <t>SerialIP COM14 暗号化プロトコル(0:None|1:SSLv3|2:TLSv1|3:Any)</t>
  </si>
  <si>
    <t>SIP_COM14_ENCRYPTION_PROTOCOL</t>
  </si>
  <si>
    <t>SerialIP COM15 COMポート番号</t>
  </si>
  <si>
    <t>SIP_COM15_PORT_NO</t>
  </si>
  <si>
    <t>SerialIP COM15 サーバーアドレス</t>
  </si>
  <si>
    <t>SIP_COM15_SERVER_ADDRESS</t>
  </si>
  <si>
    <t>SerialIP COM15 サーバーポート</t>
  </si>
  <si>
    <t>SIP_COM15_SERVER_PORT</t>
  </si>
  <si>
    <t>SerialIP COM15 送信有効フラグ(0:無効|1:有効)</t>
  </si>
  <si>
    <t>SIP_COM15_OUTBOUND_ENABLED</t>
  </si>
  <si>
    <t>SerialIP COM15 受信ポート</t>
  </si>
  <si>
    <t>SIP_COM15_INCOMING_PORT</t>
  </si>
  <si>
    <t>SerialIP COM15 受信有効フラグ(0:無効|1:有効)</t>
  </si>
  <si>
    <t>SIP_COM15_INBOUND_ENABLED</t>
  </si>
  <si>
    <t>SerialIP COM15 Telnetプロトコル(0:None|1:TSTelnet|2:CrPadding)</t>
  </si>
  <si>
    <t>SIP_COM15_TELNET_PROTOCOL</t>
  </si>
  <si>
    <t>SerialIP COM15 DCDエミュレーション(0:None|1:AlwaysHigh|2:AlwaysLow|3:TrackConnection)</t>
  </si>
  <si>
    <t>SIP_COM15_DCD_EMULATION</t>
  </si>
  <si>
    <t>SerialIP COM15 DSRエミュレーション(0:None|1:AlwaysHigh|2:AlwaysLow|3:TrackConnection)</t>
  </si>
  <si>
    <t>SIP_COM15_DSR_EMULATION</t>
  </si>
  <si>
    <t>SerialIP COM15 CTSエミュレーション(0:None|1:AlwaysHigh|2:AlwaysLow|3:TrackConnection)</t>
  </si>
  <si>
    <t>SIP_COM15_CTS_EMULATION</t>
  </si>
  <si>
    <t>SerialIP COM15 DTRモデムエスケープフラグ(0:無効|1:有効)</t>
  </si>
  <si>
    <t>SerialIP COM15 Failed接続復元フラグ(0:無効|1:有効)</t>
  </si>
  <si>
    <t>SIP_COM15_RESTORE_FAILED_CONNECTS</t>
  </si>
  <si>
    <t>SerialIP COM15 ユーザー認証(0:None|1:PromptAtLogin|2:Windows|3:Fixed|4:PromptAtPortOpen)</t>
  </si>
  <si>
    <t>SIP_COM15_USER_AUTHENTICATION</t>
  </si>
  <si>
    <t>SerialIP COM15 ユーザー名</t>
  </si>
  <si>
    <t>SIP_COM15_USERNAME</t>
  </si>
  <si>
    <t>SerialIP COM15 パスワード</t>
  </si>
  <si>
    <t>SIP_COM15_PASSWORD</t>
  </si>
  <si>
    <t>SerialIP COM15 暗号化プロトコル(0:None|1:SSLv3|2:TLSv1|3:Any)</t>
  </si>
  <si>
    <t>SIP_COM15_ENCRYPTION_PROTOCOL</t>
  </si>
  <si>
    <t>SerialIP COM16 COMポート番号</t>
  </si>
  <si>
    <t>SIP_COM16_PORT_NO</t>
  </si>
  <si>
    <t>SerialIP COM16 サーバーアドレス</t>
  </si>
  <si>
    <t>SIP_COM16_SERVER_ADDRESS</t>
  </si>
  <si>
    <t>SerialIP COM16 サーバーポート</t>
  </si>
  <si>
    <t>SIP_COM16_SERVER_PORT</t>
  </si>
  <si>
    <t>SerialIP COM16 送信有効フラグ(0:無効|1:有効)</t>
  </si>
  <si>
    <t>SIP_COM16_OUTBOUND_ENABLED</t>
  </si>
  <si>
    <t>SerialIP COM16 受信ポート</t>
  </si>
  <si>
    <t>SIP_COM16_INCOMING_PORT</t>
  </si>
  <si>
    <t>SerialIP COM16 受信有効フラグ(0:無効|1:有効)</t>
  </si>
  <si>
    <t>SIP_COM16_INBOUND_ENABLED</t>
  </si>
  <si>
    <t>SerialIP COM16 Telnetプロトコル(0:None|1:TSTelnet|2:CrPadding)</t>
  </si>
  <si>
    <t>SIP_COM16_TELNET_PROTOCOL</t>
  </si>
  <si>
    <t>SerialIP COM16 DCDエミュレーション(0:None|1:AlwaysHigh|2:AlwaysLow|3:TrackConnection)</t>
  </si>
  <si>
    <t>SIP_COM16_DCD_EMULATION</t>
  </si>
  <si>
    <t>SerialIP COM16 DSRエミュレーション(0:None|1:AlwaysHigh|2:AlwaysLow|3:TrackConnection)</t>
  </si>
  <si>
    <t>SIP_COM16_DSR_EMULATION</t>
  </si>
  <si>
    <t>SerialIP COM16 CTSエミュレーション(0:None|1:AlwaysHigh|2:AlwaysLow|3:TrackConnection)</t>
  </si>
  <si>
    <t>SIP_COM16_CTS_EMULATION</t>
  </si>
  <si>
    <t>SerialIP COM16 DTRモデムエスケープフラグ(0:無効|1:有効)</t>
  </si>
  <si>
    <t>SerialIP COM16 Failed接続復元フラグ(0:無効|1:有効)</t>
  </si>
  <si>
    <t>SIP_COM16_RESTORE_FAILED_CONNECTS</t>
  </si>
  <si>
    <t>SerialIP COM16 ユーザー認証(0:None|1:PromptAtLogin|2:Windows|3:Fixed|4:PromptAtPortOpen)</t>
  </si>
  <si>
    <t>SIP_COM16_USER_AUTHENTICATION</t>
  </si>
  <si>
    <t>SerialIP COM16 ユーザー名</t>
  </si>
  <si>
    <t>SIP_COM16_USERNAME</t>
  </si>
  <si>
    <t>SerialIP COM16 パスワード</t>
  </si>
  <si>
    <t>SIP_COM16_PASSWORD</t>
  </si>
  <si>
    <t>SerialIP COM16 暗号化プロトコル(0:None|1:SSLv3|2:TLSv1|3:Any)</t>
  </si>
  <si>
    <t>SIP_COM16_ENCRYPTION_PROTOCOL</t>
  </si>
  <si>
    <t>SerialIP COM17 COMポート番号</t>
  </si>
  <si>
    <t>SIP_COM17_PORT_NO</t>
  </si>
  <si>
    <t>SerialIP COM17 サーバーアドレス</t>
  </si>
  <si>
    <t>SIP_COM17_SERVER_ADDRESS</t>
  </si>
  <si>
    <t>SerialIP COM17 サーバーポート</t>
  </si>
  <si>
    <t>SIP_COM17_SERVER_PORT</t>
  </si>
  <si>
    <t>SerialIP COM17 送信有効フラグ(0:無効|1:有効)</t>
  </si>
  <si>
    <t>SIP_COM17_OUTBOUND_ENABLED</t>
  </si>
  <si>
    <t>SerialIP COM17 受信ポート</t>
  </si>
  <si>
    <t>SIP_COM17_INCOMING_PORT</t>
  </si>
  <si>
    <t>SerialIP COM17 受信有効フラグ(0:無効|1:有効)</t>
  </si>
  <si>
    <t>SIP_COM17_INBOUND_ENABLED</t>
  </si>
  <si>
    <t>SerialIP COM17 Telnetプロトコル(0:None|1:TSTelnet|2:CrPadding)</t>
  </si>
  <si>
    <t>SIP_COM17_TELNET_PROTOCOL</t>
  </si>
  <si>
    <t>SerialIP COM17 DCDエミュレーション(0:None|1:AlwaysHigh|2:AlwaysLow|3:TrackConnection)</t>
  </si>
  <si>
    <t>SIP_COM17_DCD_EMULATION</t>
  </si>
  <si>
    <t>SerialIP COM17 DSRエミュレーション(0:None|1:AlwaysHigh|2:AlwaysLow|3:TrackConnection)</t>
  </si>
  <si>
    <t>SIP_COM17_DSR_EMULATION</t>
  </si>
  <si>
    <t>SerialIP COM17 CTSエミュレーション(0:None|1:AlwaysHigh|2:AlwaysLow|3:TrackConnection)</t>
  </si>
  <si>
    <t>SIP_COM17_CTS_EMULATION</t>
  </si>
  <si>
    <t>SerialIP COM17 DTRモデムエスケープフラグ(0:無効|1:有効)</t>
  </si>
  <si>
    <t>SerialIP COM17 Failed接続復元フラグ(0:無効|1:有効)</t>
  </si>
  <si>
    <t>SIP_COM17_RESTORE_FAILED_CONNECTS</t>
  </si>
  <si>
    <t>SerialIP COM17 ユーザー認証(0:None|1:PromptAtLogin|2:Windows|3:Fixed|4:PromptAtPortOpen)</t>
  </si>
  <si>
    <t>SIP_COM17_USER_AUTHENTICATION</t>
  </si>
  <si>
    <t>SerialIP COM17 ユーザー名</t>
  </si>
  <si>
    <t>SIP_COM17_USERNAME</t>
  </si>
  <si>
    <t>SerialIP COM17 パスワード</t>
  </si>
  <si>
    <t>SIP_COM17_PASSWORD</t>
  </si>
  <si>
    <t>SerialIP COM17 暗号化プロトコル(0:None|1:SSLv3|2:TLSv1|3:Any)</t>
  </si>
  <si>
    <t>SIP_COM17_ENCRYPTION_PROTOCOL</t>
  </si>
  <si>
    <t>SerialIP COM18 COMポート番号</t>
  </si>
  <si>
    <t>SIP_COM18_PORT_NO</t>
  </si>
  <si>
    <t>SerialIP COM18 サーバーアドレス</t>
  </si>
  <si>
    <t>SIP_COM18_SERVER_ADDRESS</t>
  </si>
  <si>
    <t>SerialIP COM18 サーバーポート</t>
  </si>
  <si>
    <t>SIP_COM18_SERVER_PORT</t>
  </si>
  <si>
    <t>SerialIP COM18 送信有効フラグ(0:無効|1:有効)</t>
  </si>
  <si>
    <t>SIP_COM18_OUTBOUND_ENABLED</t>
  </si>
  <si>
    <t>SerialIP COM18 受信ポート</t>
  </si>
  <si>
    <t>SIP_COM18_INCOMING_PORT</t>
  </si>
  <si>
    <t>SerialIP COM18 受信有効フラグ(0:無効|1:有効)</t>
  </si>
  <si>
    <t>SIP_COM18_INBOUND_ENABLED</t>
  </si>
  <si>
    <t>SerialIP COM18 Telnetプロトコル(0:None|1:TSTelnet|2:CrPadding)</t>
  </si>
  <si>
    <t>SIP_COM18_TELNET_PROTOCOL</t>
  </si>
  <si>
    <t>SerialIP COM18 DCDエミュレーション(0:None|1:AlwaysHigh|2:AlwaysLow|3:TrackConnection)</t>
  </si>
  <si>
    <t>SIP_COM18_DCD_EMULATION</t>
  </si>
  <si>
    <t>SerialIP COM18 DSRエミュレーション(0:None|1:AlwaysHigh|2:AlwaysLow|3:TrackConnection)</t>
  </si>
  <si>
    <t>SIP_COM18_DSR_EMULATION</t>
  </si>
  <si>
    <t>SerialIP COM18 CTSエミュレーション(0:None|1:AlwaysHigh|2:AlwaysLow|3:TrackConnection)</t>
  </si>
  <si>
    <t>SIP_COM18_CTS_EMULATION</t>
  </si>
  <si>
    <t>SerialIP COM18 DTRモデムエスケープフラグ(0:無効|1:有効)</t>
  </si>
  <si>
    <t>SerialIP COM18 Failed接続復元フラグ(0:無効|1:有効)</t>
  </si>
  <si>
    <t>SIP_COM18_RESTORE_FAILED_CONNECTS</t>
  </si>
  <si>
    <t>SerialIP COM18 ユーザー認証(0:None|1:PromptAtLogin|2:Windows|3:Fixed|4:PromptAtPortOpen)</t>
  </si>
  <si>
    <t>SIP_COM18_USER_AUTHENTICATION</t>
  </si>
  <si>
    <t>SerialIP COM18 ユーザー名</t>
  </si>
  <si>
    <t>SIP_COM18_USERNAME</t>
  </si>
  <si>
    <t>SerialIP COM18 パスワード</t>
  </si>
  <si>
    <t>SIP_COM18_PASSWORD</t>
  </si>
  <si>
    <t>SerialIP COM18 暗号化プロトコル(0:None|1:SSLv3|2:TLSv1|3:Any)</t>
  </si>
  <si>
    <t>SIP_COM18_ENCRYPTION_PROTOCOL</t>
  </si>
  <si>
    <t>SerialIP COM19 COMポート番号</t>
  </si>
  <si>
    <t>SIP_COM19_PORT_NO</t>
  </si>
  <si>
    <t>SerialIP COM19 サーバーアドレス</t>
  </si>
  <si>
    <t>SIP_COM19_SERVER_ADDRESS</t>
  </si>
  <si>
    <t>SerialIP COM19 サーバーポート</t>
  </si>
  <si>
    <t>SIP_COM19_SERVER_PORT</t>
  </si>
  <si>
    <t>SerialIP COM19 送信有効フラグ(0:無効|1:有効)</t>
  </si>
  <si>
    <t>SIP_COM19_OUTBOUND_ENABLED</t>
  </si>
  <si>
    <t>SerialIP COM19 受信ポート</t>
  </si>
  <si>
    <t>SIP_COM19_INCOMING_PORT</t>
  </si>
  <si>
    <t>SerialIP COM19 受信有効フラグ(0:無効|1:有効)</t>
  </si>
  <si>
    <t>SIP_COM19_INBOUND_ENABLED</t>
  </si>
  <si>
    <t>SerialIP COM19 Telnetプロトコル(0:None|1:TSTelnet|2:CrPadding)</t>
  </si>
  <si>
    <t>SIP_COM19_TELNET_PROTOCOL</t>
  </si>
  <si>
    <t>SerialIP COM19 DCDエミュレーション(0:None|1:AlwaysHigh|2:AlwaysLow|3:TrackConnection)</t>
  </si>
  <si>
    <t>SIP_COM19_DCD_EMULATION</t>
  </si>
  <si>
    <t>SerialIP COM19 DSRエミュレーション(0:None|1:AlwaysHigh|2:AlwaysLow|3:TrackConnection)</t>
  </si>
  <si>
    <t>SIP_COM19_DSR_EMULATION</t>
  </si>
  <si>
    <t>SerialIP COM19 CTSエミュレーション(0:None|1:AlwaysHigh|2:AlwaysLow|3:TrackConnection)</t>
  </si>
  <si>
    <t>SIP_COM19_CTS_EMULATION</t>
  </si>
  <si>
    <t>SerialIP COM19 DTRモデムエスケープフラグ(0:無効|1:有効)</t>
  </si>
  <si>
    <t>SerialIP COM19 Failed接続復元フラグ(0:無効|1:有効)</t>
  </si>
  <si>
    <t>SIP_COM19_RESTORE_FAILED_CONNECTS</t>
  </si>
  <si>
    <t>SerialIP COM19 ユーザー認証(0:None|1:PromptAtLogin|2:Windows|3:Fixed|4:PromptAtPortOpen)</t>
  </si>
  <si>
    <t>SIP_COM19_USER_AUTHENTICATION</t>
  </si>
  <si>
    <t>SerialIP COM19 ユーザー名</t>
  </si>
  <si>
    <t>SIP_COM19_USERNAME</t>
  </si>
  <si>
    <t>SerialIP COM19 パスワード</t>
  </si>
  <si>
    <t>SIP_COM19_PASSWORD</t>
  </si>
  <si>
    <t>SerialIP COM19 暗号化プロトコル(0:None|1:SSLv3|2:TLSv1|3:Any)</t>
  </si>
  <si>
    <t>SIP_COM19_ENCRYPTION_PROTOCOL</t>
  </si>
  <si>
    <t>SerialIP COM20 COMポート番号</t>
  </si>
  <si>
    <t>SIP_COM20_PORT_NO</t>
  </si>
  <si>
    <t>SerialIP COM20 サーバーアドレス</t>
  </si>
  <si>
    <t>SIP_COM20_SERVER_ADDRESS</t>
  </si>
  <si>
    <t>SerialIP COM20 サーバーポート</t>
  </si>
  <si>
    <t>SIP_COM20_SERVER_PORT</t>
  </si>
  <si>
    <t>SerialIP COM20 送信有効フラグ(0:無効|1:有効)</t>
  </si>
  <si>
    <t>SIP_COM20_OUTBOUND_ENABLED</t>
  </si>
  <si>
    <t>SerialIP COM20 受信ポート</t>
  </si>
  <si>
    <t>SIP_COM20_INCOMING_PORT</t>
  </si>
  <si>
    <t>SerialIP COM20 受信有効フラグ(0:無効|1:有効)</t>
  </si>
  <si>
    <t>SIP_COM20_INBOUND_ENABLED</t>
  </si>
  <si>
    <t>SerialIP COM20 Telnetプロトコル(0:None|1:TSTelnet|2:CrPadding)</t>
  </si>
  <si>
    <t>SIP_COM20_TELNET_PROTOCOL</t>
  </si>
  <si>
    <t>SerialIP COM20 DCDエミュレーション(0:None|1:AlwaysHigh|2:AlwaysLow|3:TrackConnection)</t>
  </si>
  <si>
    <t>SIP_COM20_DCD_EMULATION</t>
  </si>
  <si>
    <t>SerialIP COM20 DSRエミュレーション(0:None|1:AlwaysHigh|2:AlwaysLow|3:TrackConnection)</t>
  </si>
  <si>
    <t>SIP_COM20_DSR_EMULATION</t>
  </si>
  <si>
    <t>SerialIP COM20 CTSエミュレーション(0:None|1:AlwaysHigh|2:AlwaysLow|3:TrackConnection)</t>
  </si>
  <si>
    <t>SIP_COM20_CTS_EMULATION</t>
  </si>
  <si>
    <t>SerialIP COM20 DTRモデムエスケープフラグ(0:無効|1:有効)</t>
  </si>
  <si>
    <t>SerialIP COM20 Failed接続復元フラグ(0:無効|1:有効)</t>
  </si>
  <si>
    <t>SIP_COM20_RESTORE_FAILED_CONNECTS</t>
  </si>
  <si>
    <t>SerialIP COM20 ユーザー認証(0:None|1:PromptAtLogin|2:Windows|3:Fixed|4:PromptAtPortOpen)</t>
  </si>
  <si>
    <t>SIP_COM20_USER_AUTHENTICATION</t>
  </si>
  <si>
    <t>SerialIP COM20 ユーザー名</t>
  </si>
  <si>
    <t>SIP_COM20_USERNAME</t>
  </si>
  <si>
    <t>SerialIP COM20 パスワード</t>
  </si>
  <si>
    <t>SIP_COM20_PASSWORD</t>
  </si>
  <si>
    <t>SerialIP COM20 暗号化プロトコル(0:None|1:SSLv3|2:TLSv1|3:Any)</t>
  </si>
  <si>
    <t>SIP_COM20_ENCRYPTION_PROTOCOL</t>
  </si>
  <si>
    <t>SerialIP COM21 COMポート番号</t>
  </si>
  <si>
    <t>SIP_COM21_PORT_NO</t>
  </si>
  <si>
    <t>SerialIP COM21 サーバーアドレス</t>
  </si>
  <si>
    <t>SIP_COM21_SERVER_ADDRESS</t>
  </si>
  <si>
    <t>SerialIP COM21 サーバーポート</t>
  </si>
  <si>
    <t>SIP_COM21_SERVER_PORT</t>
  </si>
  <si>
    <t>SerialIP COM21 送信有効フラグ(0:無効|1:有効)</t>
  </si>
  <si>
    <t>SIP_COM21_OUTBOUND_ENABLED</t>
  </si>
  <si>
    <t>SerialIP COM21 受信ポート</t>
  </si>
  <si>
    <t>SIP_COM21_INCOMING_PORT</t>
  </si>
  <si>
    <t>SerialIP COM21 受信有効フラグ(0:無効|1:有効)</t>
  </si>
  <si>
    <t>SIP_COM21_INBOUND_ENABLED</t>
  </si>
  <si>
    <t>SerialIP COM21 Telnetプロトコル(0:None|1:TSTelnet|2:CrPadding)</t>
  </si>
  <si>
    <t>SIP_COM21_TELNET_PROTOCOL</t>
  </si>
  <si>
    <t>SerialIP COM21 DCDエミュレーション(0:None|1:AlwaysHigh|2:AlwaysLow|3:TrackConnection)</t>
  </si>
  <si>
    <t>SIP_COM21_DCD_EMULATION</t>
  </si>
  <si>
    <t>SerialIP COM21 DSRエミュレーション(0:None|1:AlwaysHigh|2:AlwaysLow|3:TrackConnection)</t>
  </si>
  <si>
    <t>SIP_COM21_DSR_EMULATION</t>
  </si>
  <si>
    <t>SerialIP COM21 CTSエミュレーション(0:None|1:AlwaysHigh|2:AlwaysLow|3:TrackConnection)</t>
  </si>
  <si>
    <t>SIP_COM21_CTS_EMULATION</t>
  </si>
  <si>
    <t>SerialIP COM21 DTRモデムエスケープフラグ(0:無効|1:有効)</t>
  </si>
  <si>
    <t>SerialIP COM21 Failed接続復元フラグ(0:無効|1:有効)</t>
  </si>
  <si>
    <t>SIP_COM21_RESTORE_FAILED_CONNECTS</t>
  </si>
  <si>
    <t>SerialIP COM21 ユーザー認証(0:None|1:PromptAtLogin|2:Windows|3:Fixed|4:PromptAtPortOpen)</t>
  </si>
  <si>
    <t>SIP_COM21_USER_AUTHENTICATION</t>
  </si>
  <si>
    <t>SerialIP COM21 ユーザー名</t>
  </si>
  <si>
    <t>SIP_COM21_USERNAME</t>
  </si>
  <si>
    <t>SerialIP COM21 パスワード</t>
  </si>
  <si>
    <t>SIP_COM21_PASSWORD</t>
  </si>
  <si>
    <t>SerialIP COM21 暗号化プロトコル(0:None|1:SSLv3|2:TLSv1|3:Any)</t>
  </si>
  <si>
    <t>SIP_COM21_ENCRYPTION_PROTOCOL</t>
  </si>
  <si>
    <t>SerialIP COM22 COMポート番号</t>
  </si>
  <si>
    <t>SIP_COM22_PORT_NO</t>
  </si>
  <si>
    <t>SerialIP COM22 サーバーアドレス</t>
  </si>
  <si>
    <t>SIP_COM22_SERVER_ADDRESS</t>
  </si>
  <si>
    <t>SerialIP COM22 サーバーポート</t>
  </si>
  <si>
    <t>SIP_COM22_SERVER_PORT</t>
  </si>
  <si>
    <t>SerialIP COM22 送信有効フラグ(0:無効|1:有効)</t>
  </si>
  <si>
    <t>SIP_COM22_OUTBOUND_ENABLED</t>
  </si>
  <si>
    <t>SerialIP COM22 受信ポート</t>
  </si>
  <si>
    <t>SIP_COM22_INCOMING_PORT</t>
  </si>
  <si>
    <t>SerialIP COM22 受信有効フラグ(0:無効|1:有効)</t>
  </si>
  <si>
    <t>SIP_COM22_INBOUND_ENABLED</t>
  </si>
  <si>
    <t>SerialIP COM22 Telnetプロトコル(0:None|1:TSTelnet|2:CrPadding)</t>
  </si>
  <si>
    <t>SIP_COM22_TELNET_PROTOCOL</t>
  </si>
  <si>
    <t>SerialIP COM22 DCDエミュレーション(0:None|1:AlwaysHigh|2:AlwaysLow|3:TrackConnection)</t>
  </si>
  <si>
    <t>SIP_COM22_DCD_EMULATION</t>
  </si>
  <si>
    <t>SerialIP COM22 DSRエミュレーション(0:None|1:AlwaysHigh|2:AlwaysLow|3:TrackConnection)</t>
  </si>
  <si>
    <t>SIP_COM22_DSR_EMULATION</t>
  </si>
  <si>
    <t>SerialIP COM22 CTSエミュレーション(0:None|1:AlwaysHigh|2:AlwaysLow|3:TrackConnection)</t>
  </si>
  <si>
    <t>SIP_COM22_CTS_EMULATION</t>
  </si>
  <si>
    <t>SerialIP COM22 DTRモデムエスケープフラグ(0:無効|1:有効)</t>
  </si>
  <si>
    <t>SerialIP COM22 Failed接続復元フラグ(0:無効|1:有効)</t>
  </si>
  <si>
    <t>SIP_COM22_RESTORE_FAILED_CONNECTS</t>
  </si>
  <si>
    <t>SerialIP COM22 ユーザー認証(0:None|1:PromptAtLogin|2:Windows|3:Fixed|4:PromptAtPortOpen)</t>
  </si>
  <si>
    <t>SIP_COM22_USER_AUTHENTICATION</t>
  </si>
  <si>
    <t>SerialIP COM22 ユーザー名</t>
  </si>
  <si>
    <t>SIP_COM22_USERNAME</t>
  </si>
  <si>
    <t>SerialIP COM22 パスワード</t>
  </si>
  <si>
    <t>SIP_COM22_PASSWORD</t>
  </si>
  <si>
    <t>SerialIP COM22 暗号化プロトコル(0:None|1:SSLv3|2:TLSv1|3:Any)</t>
  </si>
  <si>
    <t>SIP_COM22_ENCRYPTION_PROTOCOL</t>
  </si>
  <si>
    <t>SerialIP COM23 COMポート番号</t>
  </si>
  <si>
    <t>SIP_COM23_PORT_NO</t>
  </si>
  <si>
    <t>SerialIP COM23 サーバーアドレス</t>
  </si>
  <si>
    <t>SIP_COM23_SERVER_ADDRESS</t>
  </si>
  <si>
    <t>SerialIP COM23 サーバーポート</t>
  </si>
  <si>
    <t>SIP_COM23_SERVER_PORT</t>
  </si>
  <si>
    <t>SerialIP COM23 送信有効フラグ(0:無効|1:有効)</t>
  </si>
  <si>
    <t>SIP_COM23_OUTBOUND_ENABLED</t>
  </si>
  <si>
    <t>SerialIP COM23 受信ポート</t>
  </si>
  <si>
    <t>SIP_COM23_INCOMING_PORT</t>
  </si>
  <si>
    <t>SerialIP COM23 受信有効フラグ(0:無効|1:有効)</t>
  </si>
  <si>
    <t>SIP_COM23_INBOUND_ENABLED</t>
  </si>
  <si>
    <t>SerialIP COM23 Telnetプロトコル(0:None|1:TSTelnet|2:CrPadding)</t>
  </si>
  <si>
    <t>SIP_COM23_TELNET_PROTOCOL</t>
  </si>
  <si>
    <t>SerialIP COM23 DCDエミュレーション(0:None|1:AlwaysHigh|2:AlwaysLow|3:TrackConnection)</t>
  </si>
  <si>
    <t>SIP_COM23_DCD_EMULATION</t>
  </si>
  <si>
    <t>SerialIP COM23 DSRエミュレーション(0:None|1:AlwaysHigh|2:AlwaysLow|3:TrackConnection)</t>
  </si>
  <si>
    <t>SIP_COM23_DSR_EMULATION</t>
  </si>
  <si>
    <t>SerialIP COM23 CTSエミュレーション(0:None|1:AlwaysHigh|2:AlwaysLow|3:TrackConnection)</t>
  </si>
  <si>
    <t>SIP_COM23_CTS_EMULATION</t>
  </si>
  <si>
    <t>SerialIP COM23 DTRモデムエスケープフラグ(0:無効|1:有効)</t>
  </si>
  <si>
    <t>SerialIP COM23 Failed接続復元フラグ(0:無効|1:有効)</t>
  </si>
  <si>
    <t>SIP_COM23_RESTORE_FAILED_CONNECTS</t>
  </si>
  <si>
    <t>SerialIP COM23 ユーザー認証(0:None|1:PromptAtLogin|2:Windows|3:Fixed|4:PromptAtPortOpen)</t>
  </si>
  <si>
    <t>SIP_COM23_USER_AUTHENTICATION</t>
  </si>
  <si>
    <t>SerialIP COM23 ユーザー名</t>
  </si>
  <si>
    <t>SIP_COM23_USERNAME</t>
  </si>
  <si>
    <t>SerialIP COM23 パスワード</t>
  </si>
  <si>
    <t>SIP_COM23_PASSWORD</t>
  </si>
  <si>
    <t>SerialIP COM23 暗号化プロトコル(0:None|1:SSLv3|2:TLSv1|3:Any)</t>
  </si>
  <si>
    <t>SIP_COM23_ENCRYPTION_PROTOCOL</t>
  </si>
  <si>
    <t>SerialIP COM24 COMポート番号</t>
  </si>
  <si>
    <t>SIP_COM24_PORT_NO</t>
  </si>
  <si>
    <t>SerialIP COM24 サーバーアドレス</t>
  </si>
  <si>
    <t>SIP_COM24_SERVER_ADDRESS</t>
  </si>
  <si>
    <t>SerialIP COM24 サーバーポート</t>
  </si>
  <si>
    <t>SIP_COM24_SERVER_PORT</t>
  </si>
  <si>
    <t>SerialIP COM24 送信有効フラグ(0:無効|1:有効)</t>
  </si>
  <si>
    <t>SIP_COM24_OUTBOUND_ENABLED</t>
  </si>
  <si>
    <t>SerialIP COM24 受信ポート</t>
  </si>
  <si>
    <t>SIP_COM24_INCOMING_PORT</t>
  </si>
  <si>
    <t>SerialIP COM24 受信有効フラグ(0:無効|1:有効)</t>
  </si>
  <si>
    <t>SIP_COM24_INBOUND_ENABLED</t>
  </si>
  <si>
    <t>SerialIP COM24 Telnetプロトコル(0:None|1:TSTelnet|2:CrPadding)</t>
  </si>
  <si>
    <t>SIP_COM24_TELNET_PROTOCOL</t>
  </si>
  <si>
    <t>SerialIP COM24 DCDエミュレーション(0:None|1:AlwaysHigh|2:AlwaysLow|3:TrackConnection)</t>
  </si>
  <si>
    <t>SIP_COM24_DCD_EMULATION</t>
  </si>
  <si>
    <t>SerialIP COM24 DSRエミュレーション(0:None|1:AlwaysHigh|2:AlwaysLow|3:TrackConnection)</t>
  </si>
  <si>
    <t>SIP_COM24_DSR_EMULATION</t>
  </si>
  <si>
    <t>SerialIP COM24 CTSエミュレーション(0:None|1:AlwaysHigh|2:AlwaysLow|3:TrackConnection)</t>
  </si>
  <si>
    <t>SIP_COM24_CTS_EMULATION</t>
  </si>
  <si>
    <t>SerialIP COM24 DTRモデムエスケープフラグ(0:無効|1:有効)</t>
  </si>
  <si>
    <t>SerialIP COM24 Failed接続復元フラグ(0:無効|1:有効)</t>
  </si>
  <si>
    <t>SIP_COM24_RESTORE_FAILED_CONNECTS</t>
  </si>
  <si>
    <t>SerialIP COM24 ユーザー認証(0:None|1:PromptAtLogin|2:Windows|3:Fixed|4:PromptAtPortOpen)</t>
  </si>
  <si>
    <t>SIP_COM24_USER_AUTHENTICATION</t>
  </si>
  <si>
    <t>SerialIP COM24 ユーザー名</t>
  </si>
  <si>
    <t>SIP_COM24_USERNAME</t>
  </si>
  <si>
    <t>SerialIP COM24 パスワード</t>
  </si>
  <si>
    <t>SIP_COM24_PASSWORD</t>
  </si>
  <si>
    <t>SerialIP COM24 暗号化プロトコル(0:None|1:SSLv3|2:TLSv1|3:Any)</t>
  </si>
  <si>
    <t>SIP_COM24_ENCRYPTION_PROTOCOL</t>
  </si>
  <si>
    <t>SerialIP COM25 COMポート番号</t>
  </si>
  <si>
    <t>SIP_COM25_PORT_NO</t>
  </si>
  <si>
    <t>SerialIP COM25 サーバーアドレス</t>
  </si>
  <si>
    <t>SIP_COM25_SERVER_ADDRESS</t>
  </si>
  <si>
    <t>SerialIP COM25 サーバーポート</t>
  </si>
  <si>
    <t>SIP_COM25_SERVER_PORT</t>
  </si>
  <si>
    <t>SerialIP COM25 送信有効フラグ(0:無効|1:有効)</t>
  </si>
  <si>
    <t>SIP_COM25_OUTBOUND_ENABLED</t>
  </si>
  <si>
    <t>SerialIP COM25 受信ポート</t>
  </si>
  <si>
    <t>SIP_COM25_INCOMING_PORT</t>
  </si>
  <si>
    <t>SerialIP COM25 受信有効フラグ(0:無効|1:有効)</t>
  </si>
  <si>
    <t>SIP_COM25_INBOUND_ENABLED</t>
  </si>
  <si>
    <t>SerialIP COM25 Telnetプロトコル(0:None|1:TSTelnet|2:CrPadding)</t>
  </si>
  <si>
    <t>SIP_COM25_TELNET_PROTOCOL</t>
  </si>
  <si>
    <t>SerialIP COM25 DCDエミュレーション(0:None|1:AlwaysHigh|2:AlwaysLow|3:TrackConnection)</t>
  </si>
  <si>
    <t>SIP_COM25_DCD_EMULATION</t>
  </si>
  <si>
    <t>SerialIP COM25 DSRエミュレーション(0:None|1:AlwaysHigh|2:AlwaysLow|3:TrackConnection)</t>
  </si>
  <si>
    <t>SIP_COM25_DSR_EMULATION</t>
  </si>
  <si>
    <t>SerialIP COM25 CTSエミュレーション(0:None|1:AlwaysHigh|2:AlwaysLow|3:TrackConnection)</t>
  </si>
  <si>
    <t>SIP_COM25_CTS_EMULATION</t>
  </si>
  <si>
    <t>SerialIP COM25 DTRモデムエスケープフラグ(0:無効|1:有効)</t>
  </si>
  <si>
    <t>SerialIP COM25 Failed接続復元フラグ(0:無効|1:有効)</t>
  </si>
  <si>
    <t>SIP_COM25_RESTORE_FAILED_CONNECTS</t>
  </si>
  <si>
    <t>SerialIP COM25 ユーザー認証(0:None|1:PromptAtLogin|2:Windows|3:Fixed|4:PromptAtPortOpen)</t>
  </si>
  <si>
    <t>SIP_COM25_USER_AUTHENTICATION</t>
  </si>
  <si>
    <t>SerialIP COM25 ユーザー名</t>
  </si>
  <si>
    <t>SIP_COM25_USERNAME</t>
  </si>
  <si>
    <t>SerialIP COM25 パスワード</t>
  </si>
  <si>
    <t>SIP_COM25_PASSWORD</t>
  </si>
  <si>
    <t>SerialIP COM25 暗号化プロトコル(0:None|1:SSLv3|2:TLSv1|3:Any)</t>
  </si>
  <si>
    <t>SIP_COM25_ENCRYPTION_PROTOCOL</t>
  </si>
  <si>
    <t>SerialIP COM26 COMポート番号</t>
  </si>
  <si>
    <t>SIP_COM26_PORT_NO</t>
  </si>
  <si>
    <t>SerialIP COM26 サーバーアドレス</t>
  </si>
  <si>
    <t>SIP_COM26_SERVER_ADDRESS</t>
  </si>
  <si>
    <t>SerialIP COM26 サーバーポート</t>
  </si>
  <si>
    <t>SIP_COM26_SERVER_PORT</t>
  </si>
  <si>
    <t>SerialIP COM26 送信有効フラグ(0:無効|1:有効)</t>
  </si>
  <si>
    <t>SIP_COM26_OUTBOUND_ENABLED</t>
  </si>
  <si>
    <t>SerialIP COM26 受信ポート</t>
  </si>
  <si>
    <t>SIP_COM26_INCOMING_PORT</t>
  </si>
  <si>
    <t>SerialIP COM26 受信有効フラグ(0:無効|1:有効)</t>
  </si>
  <si>
    <t>SIP_COM26_INBOUND_ENABLED</t>
  </si>
  <si>
    <t>SerialIP COM26 Telnetプロトコル(0:None|1:TSTelnet|2:CrPadding)</t>
  </si>
  <si>
    <t>SIP_COM26_TELNET_PROTOCOL</t>
  </si>
  <si>
    <t>SerialIP COM26 DCDエミュレーション(0:None|1:AlwaysHigh|2:AlwaysLow|3:TrackConnection)</t>
  </si>
  <si>
    <t>SIP_COM26_DCD_EMULATION</t>
  </si>
  <si>
    <t>SerialIP COM26 DSRエミュレーション(0:None|1:AlwaysHigh|2:AlwaysLow|3:TrackConnection)</t>
  </si>
  <si>
    <t>SIP_COM26_DSR_EMULATION</t>
  </si>
  <si>
    <t>SerialIP COM26 CTSエミュレーション(0:None|1:AlwaysHigh|2:AlwaysLow|3:TrackConnection)</t>
  </si>
  <si>
    <t>SIP_COM26_CTS_EMULATION</t>
  </si>
  <si>
    <t>SerialIP COM26 DTRモデムエスケープフラグ(0:無効|1:有効)</t>
  </si>
  <si>
    <t>SerialIP COM26 Failed接続復元フラグ(0:無効|1:有効)</t>
  </si>
  <si>
    <t>SIP_COM26_RESTORE_FAILED_CONNECTS</t>
  </si>
  <si>
    <t>SerialIP COM26 ユーザー認証(0:None|1:PromptAtLogin|2:Windows|3:Fixed|4:PromptAtPortOpen)</t>
  </si>
  <si>
    <t>SIP_COM26_USER_AUTHENTICATION</t>
  </si>
  <si>
    <t>SerialIP COM26 ユーザー名</t>
  </si>
  <si>
    <t>SIP_COM26_USERNAME</t>
  </si>
  <si>
    <t>SerialIP COM26 パスワード</t>
  </si>
  <si>
    <t>SIP_COM26_PASSWORD</t>
  </si>
  <si>
    <t>SerialIP COM26 暗号化プロトコル(0:None|1:SSLv3|2:TLSv1|3:Any)</t>
  </si>
  <si>
    <t>SIP_COM26_ENCRYPTION_PROTOCOL</t>
  </si>
  <si>
    <t>SerialIP COM27 COMポート番号</t>
  </si>
  <si>
    <t>SIP_COM27_PORT_NO</t>
  </si>
  <si>
    <t>SerialIP COM27 サーバーアドレス</t>
  </si>
  <si>
    <t>SIP_COM27_SERVER_ADDRESS</t>
  </si>
  <si>
    <t>SerialIP COM27 サーバーポート</t>
  </si>
  <si>
    <t>SIP_COM27_SERVER_PORT</t>
  </si>
  <si>
    <t>SerialIP COM27 送信有効フラグ(0:無効|1:有効)</t>
  </si>
  <si>
    <t>SIP_COM27_OUTBOUND_ENABLED</t>
  </si>
  <si>
    <t>SerialIP COM27 受信ポート</t>
  </si>
  <si>
    <t>SIP_COM27_INCOMING_PORT</t>
  </si>
  <si>
    <t>SerialIP COM27 受信有効フラグ(0:無効|1:有効)</t>
  </si>
  <si>
    <t>SIP_COM27_INBOUND_ENABLED</t>
  </si>
  <si>
    <t>SerialIP COM27 Telnetプロトコル(0:None|1:TSTelnet|2:CrPadding)</t>
  </si>
  <si>
    <t>SIP_COM27_TELNET_PROTOCOL</t>
  </si>
  <si>
    <t>SerialIP COM27 DCDエミュレーション(0:None|1:AlwaysHigh|2:AlwaysLow|3:TrackConnection)</t>
  </si>
  <si>
    <t>SIP_COM27_DCD_EMULATION</t>
  </si>
  <si>
    <t>SerialIP COM27 DSRエミュレーション(0:None|1:AlwaysHigh|2:AlwaysLow|3:TrackConnection)</t>
  </si>
  <si>
    <t>SIP_COM27_DSR_EMULATION</t>
  </si>
  <si>
    <t>SerialIP COM27 CTSエミュレーション(0:None|1:AlwaysHigh|2:AlwaysLow|3:TrackConnection)</t>
  </si>
  <si>
    <t>SIP_COM27_CTS_EMULATION</t>
  </si>
  <si>
    <t>SerialIP COM27 DTRモデムエスケープフラグ(0:無効|1:有効)</t>
  </si>
  <si>
    <t>SerialIP COM27 Failed接続復元フラグ(0:無効|1:有効)</t>
  </si>
  <si>
    <t>SIP_COM27_RESTORE_FAILED_CONNECTS</t>
  </si>
  <si>
    <t>SerialIP COM27 ユーザー認証(0:None|1:PromptAtLogin|2:Windows|3:Fixed|4:PromptAtPortOpen)</t>
  </si>
  <si>
    <t>SIP_COM27_USER_AUTHENTICATION</t>
  </si>
  <si>
    <t>SerialIP COM27 ユーザー名</t>
  </si>
  <si>
    <t>SIP_COM27_USERNAME</t>
  </si>
  <si>
    <t>SerialIP COM27 パスワード</t>
  </si>
  <si>
    <t>SIP_COM27_PASSWORD</t>
  </si>
  <si>
    <t>SerialIP COM27 暗号化プロトコル(0:None|1:SSLv3|2:TLSv1|3:Any)</t>
  </si>
  <si>
    <t>SIP_COM27_ENCRYPTION_PROTOCOL</t>
  </si>
  <si>
    <t>SerialIP COM28 COMポート番号</t>
  </si>
  <si>
    <t>SIP_COM28_PORT_NO</t>
  </si>
  <si>
    <t>SerialIP COM28 サーバーアドレス</t>
  </si>
  <si>
    <t>SIP_COM28_SERVER_ADDRESS</t>
  </si>
  <si>
    <t>SerialIP COM28 サーバーポート</t>
  </si>
  <si>
    <t>SIP_COM28_SERVER_PORT</t>
  </si>
  <si>
    <t>SerialIP COM28 送信有効フラグ(0:無効|1:有効)</t>
  </si>
  <si>
    <t>SIP_COM28_OUTBOUND_ENABLED</t>
  </si>
  <si>
    <t>SerialIP COM28 受信ポート</t>
  </si>
  <si>
    <t>SIP_COM28_INCOMING_PORT</t>
  </si>
  <si>
    <t>SerialIP COM28 受信有効フラグ(0:無効|1:有効)</t>
  </si>
  <si>
    <t>SIP_COM28_INBOUND_ENABLED</t>
  </si>
  <si>
    <t>SerialIP COM28 Telnetプロトコル(0:None|1:TSTelnet|2:CrPadding)</t>
  </si>
  <si>
    <t>SIP_COM28_TELNET_PROTOCOL</t>
  </si>
  <si>
    <t>SerialIP COM28 DCDエミュレーション(0:None|1:AlwaysHigh|2:AlwaysLow|3:TrackConnection)</t>
  </si>
  <si>
    <t>SIP_COM28_DCD_EMULATION</t>
  </si>
  <si>
    <t>SerialIP COM28 DSRエミュレーション(0:None|1:AlwaysHigh|2:AlwaysLow|3:TrackConnection)</t>
  </si>
  <si>
    <t>SIP_COM28_DSR_EMULATION</t>
  </si>
  <si>
    <t>SerialIP COM28 CTSエミュレーション(0:None|1:AlwaysHigh|2:AlwaysLow|3:TrackConnection)</t>
  </si>
  <si>
    <t>SIP_COM28_CTS_EMULATION</t>
  </si>
  <si>
    <t>SerialIP COM28 DTRモデムエスケープフラグ(0:無効|1:有効)</t>
  </si>
  <si>
    <t>SerialIP COM28 Failed接続復元フラグ(0:無効|1:有効)</t>
  </si>
  <si>
    <t>SIP_COM28_RESTORE_FAILED_CONNECTS</t>
  </si>
  <si>
    <t>SerialIP COM28 ユーザー認証(0:None|1:PromptAtLogin|2:Windows|3:Fixed|4:PromptAtPortOpen)</t>
  </si>
  <si>
    <t>SIP_COM28_USER_AUTHENTICATION</t>
  </si>
  <si>
    <t>SerialIP COM28 ユーザー名</t>
  </si>
  <si>
    <t>SIP_COM28_USERNAME</t>
  </si>
  <si>
    <t>SerialIP COM28 パスワード</t>
  </si>
  <si>
    <t>SIP_COM28_PASSWORD</t>
  </si>
  <si>
    <t>SerialIP COM28 暗号化プロトコル(0:None|1:SSLv3|2:TLSv1|3:Any)</t>
  </si>
  <si>
    <t>SIP_COM28_ENCRYPTION_PROTOCOL</t>
  </si>
  <si>
    <t>SerialIP COM29 COMポート番号</t>
  </si>
  <si>
    <t>SIP_COM29_PORT_NO</t>
  </si>
  <si>
    <t>SerialIP COM29 サーバーアドレス</t>
  </si>
  <si>
    <t>SIP_COM29_SERVER_ADDRESS</t>
  </si>
  <si>
    <t>SerialIP COM29 サーバーポート</t>
  </si>
  <si>
    <t>SIP_COM29_SERVER_PORT</t>
  </si>
  <si>
    <t>SerialIP COM29 送信有効フラグ(0:無効|1:有効)</t>
  </si>
  <si>
    <t>SIP_COM29_OUTBOUND_ENABLED</t>
  </si>
  <si>
    <t>SerialIP COM29 受信ポート</t>
  </si>
  <si>
    <t>SIP_COM29_INCOMING_PORT</t>
  </si>
  <si>
    <t>SerialIP COM29 受信有効フラグ(0:無効|1:有効)</t>
  </si>
  <si>
    <t>SIP_COM29_INBOUND_ENABLED</t>
  </si>
  <si>
    <t>SerialIP COM29 Telnetプロトコル(0:None|1:TSTelnet|2:CrPadding)</t>
  </si>
  <si>
    <t>SIP_COM29_TELNET_PROTOCOL</t>
  </si>
  <si>
    <t>SerialIP COM29 DCDエミュレーション(0:None|1:AlwaysHigh|2:AlwaysLow|3:TrackConnection)</t>
  </si>
  <si>
    <t>SIP_COM29_DCD_EMULATION</t>
  </si>
  <si>
    <t>SerialIP COM29 DSRエミュレーション(0:None|1:AlwaysHigh|2:AlwaysLow|3:TrackConnection)</t>
  </si>
  <si>
    <t>SIP_COM29_DSR_EMULATION</t>
  </si>
  <si>
    <t>SerialIP COM29 CTSエミュレーション(0:None|1:AlwaysHigh|2:AlwaysLow|3:TrackConnection)</t>
  </si>
  <si>
    <t>SIP_COM29_CTS_EMULATION</t>
  </si>
  <si>
    <t>SerialIP COM29 DTRモデムエスケープフラグ(0:無効|1:有効)</t>
  </si>
  <si>
    <t>SerialIP COM29 Failed接続復元フラグ(0:無効|1:有効)</t>
  </si>
  <si>
    <t>SIP_COM29_RESTORE_FAILED_CONNECTS</t>
  </si>
  <si>
    <t>SerialIP COM29 ユーザー認証(0:None|1:PromptAtLogin|2:Windows|3:Fixed|4:PromptAtPortOpen)</t>
  </si>
  <si>
    <t>SIP_COM29_USER_AUTHENTICATION</t>
  </si>
  <si>
    <t>SerialIP COM29 ユーザー名</t>
  </si>
  <si>
    <t>SIP_COM29_USERNAME</t>
  </si>
  <si>
    <t>SerialIP COM29 パスワード</t>
  </si>
  <si>
    <t>SIP_COM29_PASSWORD</t>
  </si>
  <si>
    <t>SerialIP COM29 暗号化プロトコル(0:None|1:SSLv3|2:TLSv1|3:Any)</t>
  </si>
  <si>
    <t>SIP_COM29_ENCRYPTION_PROTOCOL</t>
  </si>
  <si>
    <t>SerialIP COM30 COMポート番号</t>
  </si>
  <si>
    <t>SIP_COM30_PORT_NO</t>
  </si>
  <si>
    <t>SerialIP COM30 サーバーアドレス</t>
  </si>
  <si>
    <t>SIP_COM30_SERVER_ADDRESS</t>
  </si>
  <si>
    <t>SerialIP COM30 サーバーポート</t>
  </si>
  <si>
    <t>SIP_COM30_SERVER_PORT</t>
  </si>
  <si>
    <t>SerialIP COM30 送信有効フラグ(0:無効|1:有効)</t>
  </si>
  <si>
    <t>SIP_COM30_OUTBOUND_ENABLED</t>
  </si>
  <si>
    <t>SerialIP COM30 受信ポート</t>
  </si>
  <si>
    <t>SIP_COM30_INCOMING_PORT</t>
  </si>
  <si>
    <t>SerialIP COM30 受信有効フラグ(0:無効|1:有効)</t>
  </si>
  <si>
    <t>SIP_COM30_INBOUND_ENABLED</t>
  </si>
  <si>
    <t>SerialIP COM30 Telnetプロトコル(0:None|1:TSTelnet|2:CrPadding)</t>
  </si>
  <si>
    <t>SIP_COM30_TELNET_PROTOCOL</t>
  </si>
  <si>
    <t>SerialIP COM30 DCDエミュレーション(0:None|1:AlwaysHigh|2:AlwaysLow|3:TrackConnection)</t>
  </si>
  <si>
    <t>SIP_COM30_DCD_EMULATION</t>
  </si>
  <si>
    <t>SerialIP COM30 DSRエミュレーション(0:None|1:AlwaysHigh|2:AlwaysLow|3:TrackConnection)</t>
  </si>
  <si>
    <t>SIP_COM30_DSR_EMULATION</t>
  </si>
  <si>
    <t>SerialIP COM30 CTSエミュレーション(0:None|1:AlwaysHigh|2:AlwaysLow|3:TrackConnection)</t>
  </si>
  <si>
    <t>SIP_COM30_CTS_EMULATION</t>
  </si>
  <si>
    <t>SerialIP COM30 DTRモデムエスケープフラグ(0:無効|1:有効)</t>
  </si>
  <si>
    <t>SerialIP COM30 Failed接続復元フラグ(0:無効|1:有効)</t>
  </si>
  <si>
    <t>SIP_COM30_RESTORE_FAILED_CONNECTS</t>
  </si>
  <si>
    <t>SerialIP COM30 ユーザー認証(0:None|1:PromptAtLogin|2:Windows|3:Fixed|4:PromptAtPortOpen)</t>
  </si>
  <si>
    <t>SIP_COM30_USER_AUTHENTICATION</t>
  </si>
  <si>
    <t>SerialIP COM30 ユーザー名</t>
  </si>
  <si>
    <t>SIP_COM30_USERNAME</t>
  </si>
  <si>
    <t>SerialIP COM30 パスワード</t>
  </si>
  <si>
    <t>SIP_COM30_PASSWORD</t>
  </si>
  <si>
    <t>SerialIP COM30 暗号化プロトコル(0:None|1:SSLv3|2:TLSv1|3:Any)</t>
  </si>
  <si>
    <t>SIP_COM30_ENCRYPTION_PROTOCOL</t>
  </si>
  <si>
    <t>SerialIP COM31 COMポート番号</t>
  </si>
  <si>
    <t>SIP_COM31_PORT_NO</t>
  </si>
  <si>
    <t>SerialIP COM31 サーバーアドレス</t>
  </si>
  <si>
    <t>SIP_COM31_SERVER_ADDRESS</t>
  </si>
  <si>
    <t>SerialIP COM31 サーバーポート</t>
  </si>
  <si>
    <t>SIP_COM31_SERVER_PORT</t>
  </si>
  <si>
    <t>SerialIP COM31 送信有効フラグ(0:無効|1:有効)</t>
  </si>
  <si>
    <t>SIP_COM31_OUTBOUND_ENABLED</t>
  </si>
  <si>
    <t>SerialIP COM31 受信ポート</t>
  </si>
  <si>
    <t>SIP_COM31_INCOMING_PORT</t>
  </si>
  <si>
    <t>SerialIP COM31 受信有効フラグ(0:無効|1:有効)</t>
  </si>
  <si>
    <t>SIP_COM31_INBOUND_ENABLED</t>
  </si>
  <si>
    <t>SerialIP COM31 Telnetプロトコル(0:None|1:TSTelnet|2:CrPadding)</t>
  </si>
  <si>
    <t>SIP_COM31_TELNET_PROTOCOL</t>
  </si>
  <si>
    <t>SerialIP COM31 DCDエミュレーション(0:None|1:AlwaysHigh|2:AlwaysLow|3:TrackConnection)</t>
  </si>
  <si>
    <t>SIP_COM31_DCD_EMULATION</t>
  </si>
  <si>
    <t>SerialIP COM31 DSRエミュレーション(0:None|1:AlwaysHigh|2:AlwaysLow|3:TrackConnection)</t>
  </si>
  <si>
    <t>SIP_COM31_DSR_EMULATION</t>
  </si>
  <si>
    <t>SerialIP COM31 CTSエミュレーション(0:None|1:AlwaysHigh|2:AlwaysLow|3:TrackConnection)</t>
  </si>
  <si>
    <t>SIP_COM31_CTS_EMULATION</t>
  </si>
  <si>
    <t>SerialIP COM31 DTRモデムエスケープフラグ(0:無効|1:有効)</t>
  </si>
  <si>
    <t>SerialIP COM31 Failed接続復元フラグ(0:無効|1:有効)</t>
  </si>
  <si>
    <t>SIP_COM31_RESTORE_FAILED_CONNECTS</t>
  </si>
  <si>
    <t>SerialIP COM31 ユーザー認証(0:None|1:PromptAtLogin|2:Windows|3:Fixed|4:PromptAtPortOpen)</t>
  </si>
  <si>
    <t>SIP_COM31_USER_AUTHENTICATION</t>
  </si>
  <si>
    <t>SerialIP COM31 ユーザー名</t>
  </si>
  <si>
    <t>SIP_COM31_USERNAME</t>
  </si>
  <si>
    <t>SerialIP COM31 パスワード</t>
  </si>
  <si>
    <t>SIP_COM31_PASSWORD</t>
  </si>
  <si>
    <t>SerialIP COM31 暗号化プロトコル(0:None|1:SSLv3|2:TLSv1|3:Any)</t>
  </si>
  <si>
    <t>SIP_COM31_ENCRYPTION_PROTOCOL</t>
  </si>
  <si>
    <t>SerialIP COM32 COMポート番号</t>
  </si>
  <si>
    <t>SIP_COM32_PORT_NO</t>
  </si>
  <si>
    <t>SerialIP COM32 サーバーアドレス</t>
  </si>
  <si>
    <t>SIP_COM32_SERVER_ADDRESS</t>
  </si>
  <si>
    <t>SerialIP COM32 サーバーポート</t>
  </si>
  <si>
    <t>SIP_COM32_SERVER_PORT</t>
  </si>
  <si>
    <t>SerialIP COM32 送信有効フラグ(0:無効|1:有効)</t>
  </si>
  <si>
    <t>SIP_COM32_OUTBOUND_ENABLED</t>
  </si>
  <si>
    <t>SerialIP COM32 受信ポート</t>
  </si>
  <si>
    <t>SIP_COM32_INCOMING_PORT</t>
  </si>
  <si>
    <t>SerialIP COM32 受信有効フラグ(0:無効|1:有効)</t>
  </si>
  <si>
    <t>SIP_COM32_INBOUND_ENABLED</t>
  </si>
  <si>
    <t>SerialIP COM32 Telnetプロトコル(0:None|1:TSTelnet|2:CrPadding)</t>
  </si>
  <si>
    <t>SIP_COM32_TELNET_PROTOCOL</t>
  </si>
  <si>
    <t>SerialIP COM32 DCDエミュレーション(0:None|1:AlwaysHigh|2:AlwaysLow|3:TrackConnection)</t>
  </si>
  <si>
    <t>SIP_COM32_DCD_EMULATION</t>
  </si>
  <si>
    <t>SerialIP COM32 DSRエミュレーション(0:None|1:AlwaysHigh|2:AlwaysLow|3:TrackConnection)</t>
  </si>
  <si>
    <t>SIP_COM32_DSR_EMULATION</t>
  </si>
  <si>
    <t>SerialIP COM32 CTSエミュレーション(0:None|1:AlwaysHigh|2:AlwaysLow|3:TrackConnection)</t>
  </si>
  <si>
    <t>SIP_COM32_CTS_EMULATION</t>
  </si>
  <si>
    <t>SerialIP COM32 DTRモデムエスケープフラグ(0:無効|1:有効)</t>
  </si>
  <si>
    <t>SerialIP COM32 Failed接続復元フラグ(0:無効|1:有効)</t>
  </si>
  <si>
    <t>SIP_COM32_RESTORE_FAILED_CONNECTS</t>
  </si>
  <si>
    <t>SerialIP COM32 ユーザー認証(0:None|1:PromptAtLogin|2:Windows|3:Fixed|4:PromptAtPortOpen)</t>
  </si>
  <si>
    <t>SIP_COM32_USER_AUTHENTICATION</t>
  </si>
  <si>
    <t>SerialIP COM32 ユーザー名</t>
  </si>
  <si>
    <t>SIP_COM32_USERNAME</t>
  </si>
  <si>
    <t>SerialIP COM32 パスワード</t>
  </si>
  <si>
    <t>SIP_COM32_PASSWORD</t>
  </si>
  <si>
    <t>SerialIP COM32 暗号化プロトコル(0:None|1:SSLv3|2:TLSv1|3:Any)</t>
  </si>
  <si>
    <t>SIP_COM32_ENCRYPTION_PROTOCOL</t>
  </si>
  <si>
    <t>SerialIP COM33 COMポート番号</t>
  </si>
  <si>
    <t>SIP_COM33_PORT_NO</t>
  </si>
  <si>
    <t>SerialIP COM33 サーバーアドレス</t>
  </si>
  <si>
    <t>SIP_COM33_SERVER_ADDRESS</t>
  </si>
  <si>
    <t>SerialIP COM33 サーバーポート</t>
  </si>
  <si>
    <t>SIP_COM33_SERVER_PORT</t>
  </si>
  <si>
    <t>SerialIP COM33 送信有効フラグ(0:無効|1:有効)</t>
  </si>
  <si>
    <t>SIP_COM33_OUTBOUND_ENABLED</t>
  </si>
  <si>
    <t>SerialIP COM33 受信ポート</t>
  </si>
  <si>
    <t>SIP_COM33_INCOMING_PORT</t>
  </si>
  <si>
    <t>SerialIP COM33 受信有効フラグ(0:無効|1:有効)</t>
  </si>
  <si>
    <t>SIP_COM33_INBOUND_ENABLED</t>
  </si>
  <si>
    <t>SerialIP COM33 Telnetプロトコル(0:None|1:TSTelnet|2:CrPadding)</t>
  </si>
  <si>
    <t>SIP_COM33_TELNET_PROTOCOL</t>
  </si>
  <si>
    <t>SerialIP COM33 DCDエミュレーション(0:None|1:AlwaysHigh|2:AlwaysLow|3:TrackConnection)</t>
  </si>
  <si>
    <t>SIP_COM33_DCD_EMULATION</t>
  </si>
  <si>
    <t>SerialIP COM33 DSRエミュレーション(0:None|1:AlwaysHigh|2:AlwaysLow|3:TrackConnection)</t>
  </si>
  <si>
    <t>SIP_COM33_DSR_EMULATION</t>
  </si>
  <si>
    <t>SerialIP COM33 CTSエミュレーション(0:None|1:AlwaysHigh|2:AlwaysLow|3:TrackConnection)</t>
  </si>
  <si>
    <t>SIP_COM33_CTS_EMULATION</t>
  </si>
  <si>
    <t>SerialIP COM33 DTRモデムエスケープフラグ(0:無効|1:有効)</t>
  </si>
  <si>
    <t>SerialIP COM33 Failed接続復元フラグ(0:無効|1:有効)</t>
  </si>
  <si>
    <t>SIP_COM33_RESTORE_FAILED_CONNECTS</t>
  </si>
  <si>
    <t>SerialIP COM33 ユーザー認証(0:None|1:PromptAtLogin|2:Windows|3:Fixed|4:PromptAtPortOpen)</t>
  </si>
  <si>
    <t>SIP_COM33_USER_AUTHENTICATION</t>
  </si>
  <si>
    <t>SerialIP COM33 ユーザー名</t>
  </si>
  <si>
    <t>SIP_COM33_USERNAME</t>
  </si>
  <si>
    <t>SerialIP COM33 パスワード</t>
  </si>
  <si>
    <t>SIP_COM33_PASSWORD</t>
  </si>
  <si>
    <t>SerialIP COM33 暗号化プロトコル(0:None|1:SSLv3|2:TLSv1|3:Any)</t>
  </si>
  <si>
    <t>SIP_COM33_ENCRYPTION_PROTOCOL</t>
  </si>
  <si>
    <t>SerialIP COM34 COMポート番号</t>
  </si>
  <si>
    <t>SIP_COM34_PORT_NO</t>
  </si>
  <si>
    <t>SerialIP COM34 サーバーアドレス</t>
  </si>
  <si>
    <t>SIP_COM34_SERVER_ADDRESS</t>
  </si>
  <si>
    <t>SerialIP COM34 サーバーポート</t>
  </si>
  <si>
    <t>SIP_COM34_SERVER_PORT</t>
  </si>
  <si>
    <t>SerialIP COM34 送信有効フラグ(0:無効|1:有効)</t>
  </si>
  <si>
    <t>SIP_COM34_OUTBOUND_ENABLED</t>
  </si>
  <si>
    <t>SerialIP COM34 受信ポート</t>
  </si>
  <si>
    <t>SIP_COM34_INCOMING_PORT</t>
  </si>
  <si>
    <t>SerialIP COM34 受信有効フラグ(0:無効|1:有効)</t>
  </si>
  <si>
    <t>SIP_COM34_INBOUND_ENABLED</t>
  </si>
  <si>
    <t>SerialIP COM34 Telnetプロトコル(0:None|1:TSTelnet|2:CrPadding)</t>
  </si>
  <si>
    <t>SIP_COM34_TELNET_PROTOCOL</t>
  </si>
  <si>
    <t>SerialIP COM34 DCDエミュレーション(0:None|1:AlwaysHigh|2:AlwaysLow|3:TrackConnection)</t>
  </si>
  <si>
    <t>SIP_COM34_DCD_EMULATION</t>
  </si>
  <si>
    <t>SerialIP COM34 DSRエミュレーション(0:None|1:AlwaysHigh|2:AlwaysLow|3:TrackConnection)</t>
  </si>
  <si>
    <t>SIP_COM34_DSR_EMULATION</t>
  </si>
  <si>
    <t>SerialIP COM34 CTSエミュレーション(0:None|1:AlwaysHigh|2:AlwaysLow|3:TrackConnection)</t>
  </si>
  <si>
    <t>SIP_COM34_CTS_EMULATION</t>
  </si>
  <si>
    <t>SerialIP COM34 DTRモデムエスケープフラグ(0:無効|1:有効)</t>
  </si>
  <si>
    <t>SerialIP COM34 Failed接続復元フラグ(0:無効|1:有効)</t>
  </si>
  <si>
    <t>SIP_COM34_RESTORE_FAILED_CONNECTS</t>
  </si>
  <si>
    <t>SerialIP COM34 ユーザー認証(0:None|1:PromptAtLogin|2:Windows|3:Fixed|4:PromptAtPortOpen)</t>
  </si>
  <si>
    <t>SIP_COM34_USER_AUTHENTICATION</t>
  </si>
  <si>
    <t>SerialIP COM34 ユーザー名</t>
  </si>
  <si>
    <t>SIP_COM34_USERNAME</t>
  </si>
  <si>
    <t>SerialIP COM34 パスワード</t>
  </si>
  <si>
    <t>SIP_COM34_PASSWORD</t>
  </si>
  <si>
    <t>SerialIP COM34 暗号化プロトコル(0:None|1:SSLv3|2:TLSv1|3:Any)</t>
  </si>
  <si>
    <t>SIP_COM34_ENCRYPTION_PROTOCOL</t>
  </si>
  <si>
    <t>SerialIP COM35 COMポート番号</t>
  </si>
  <si>
    <t>SIP_COM35_PORT_NO</t>
  </si>
  <si>
    <t>SerialIP COM35 サーバーアドレス</t>
  </si>
  <si>
    <t>SIP_COM35_SERVER_ADDRESS</t>
  </si>
  <si>
    <t>SerialIP COM35 サーバーポート</t>
  </si>
  <si>
    <t>SIP_COM35_SERVER_PORT</t>
  </si>
  <si>
    <t>SerialIP COM35 送信有効フラグ(0:無効|1:有効)</t>
  </si>
  <si>
    <t>SIP_COM35_OUTBOUND_ENABLED</t>
  </si>
  <si>
    <t>SerialIP COM35 受信ポート</t>
  </si>
  <si>
    <t>SIP_COM35_INCOMING_PORT</t>
  </si>
  <si>
    <t>SerialIP COM35 受信有効フラグ(0:無効|1:有効)</t>
  </si>
  <si>
    <t>SIP_COM35_INBOUND_ENABLED</t>
  </si>
  <si>
    <t>SerialIP COM35 Telnetプロトコル(0:None|1:TSTelnet|2:CrPadding)</t>
  </si>
  <si>
    <t>SIP_COM35_TELNET_PROTOCOL</t>
  </si>
  <si>
    <t>SerialIP COM35 DCDエミュレーション(0:None|1:AlwaysHigh|2:AlwaysLow|3:TrackConnection)</t>
  </si>
  <si>
    <t>SIP_COM35_DCD_EMULATION</t>
  </si>
  <si>
    <t>SerialIP COM35 DSRエミュレーション(0:None|1:AlwaysHigh|2:AlwaysLow|3:TrackConnection)</t>
  </si>
  <si>
    <t>SIP_COM35_DSR_EMULATION</t>
  </si>
  <si>
    <t>SerialIP COM35 CTSエミュレーション(0:None|1:AlwaysHigh|2:AlwaysLow|3:TrackConnection)</t>
  </si>
  <si>
    <t>SIP_COM35_CTS_EMULATION</t>
  </si>
  <si>
    <t>SerialIP COM35 DTRモデムエスケープフラグ(0:無効|1:有効)</t>
  </si>
  <si>
    <t>SerialIP COM35 Failed接続復元フラグ(0:無効|1:有効)</t>
  </si>
  <si>
    <t>SIP_COM35_RESTORE_FAILED_CONNECTS</t>
  </si>
  <si>
    <t>SerialIP COM35 ユーザー認証(0:None|1:PromptAtLogin|2:Windows|3:Fixed|4:PromptAtPortOpen)</t>
  </si>
  <si>
    <t>SIP_COM35_USER_AUTHENTICATION</t>
  </si>
  <si>
    <t>SerialIP COM35 ユーザー名</t>
  </si>
  <si>
    <t>SIP_COM35_USERNAME</t>
  </si>
  <si>
    <t>SerialIP COM35 パスワード</t>
  </si>
  <si>
    <t>SIP_COM35_PASSWORD</t>
  </si>
  <si>
    <t>SerialIP COM35 暗号化プロトコル(0:None|1:SSLv3|2:TLSv1|3:Any)</t>
  </si>
  <si>
    <t>SIP_COM35_ENCRYPTION_PROTOCOL</t>
  </si>
  <si>
    <t>SerialIP COM36 COMポート番号</t>
  </si>
  <si>
    <t>SIP_COM36_PORT_NO</t>
  </si>
  <si>
    <t>SerialIP COM36 サーバーアドレス</t>
  </si>
  <si>
    <t>SIP_COM36_SERVER_ADDRESS</t>
  </si>
  <si>
    <t>SerialIP COM36 サーバーポート</t>
  </si>
  <si>
    <t>SIP_COM36_SERVER_PORT</t>
  </si>
  <si>
    <t>SerialIP COM36 送信有効フラグ(0:無効|1:有効)</t>
  </si>
  <si>
    <t>SIP_COM36_OUTBOUND_ENABLED</t>
  </si>
  <si>
    <t>SerialIP COM36 受信ポート</t>
  </si>
  <si>
    <t>SIP_COM36_INCOMING_PORT</t>
  </si>
  <si>
    <t>SerialIP COM36 受信有効フラグ(0:無効|1:有効)</t>
  </si>
  <si>
    <t>SIP_COM36_INBOUND_ENABLED</t>
  </si>
  <si>
    <t>SerialIP COM36 Telnetプロトコル(0:None|1:TSTelnet|2:CrPadding)</t>
  </si>
  <si>
    <t>SIP_COM36_TELNET_PROTOCOL</t>
  </si>
  <si>
    <t>SerialIP COM36 DCDエミュレーション(0:None|1:AlwaysHigh|2:AlwaysLow|3:TrackConnection)</t>
  </si>
  <si>
    <t>SIP_COM36_DCD_EMULATION</t>
  </si>
  <si>
    <t>SerialIP COM36 DSRエミュレーション(0:None|1:AlwaysHigh|2:AlwaysLow|3:TrackConnection)</t>
  </si>
  <si>
    <t>SIP_COM36_DSR_EMULATION</t>
  </si>
  <si>
    <t>SerialIP COM36 CTSエミュレーション(0:None|1:AlwaysHigh|2:AlwaysLow|3:TrackConnection)</t>
  </si>
  <si>
    <t>SIP_COM36_CTS_EMULATION</t>
  </si>
  <si>
    <t>SerialIP COM36 DTRモデムエスケープフラグ(0:無効|1:有効)</t>
  </si>
  <si>
    <t>SerialIP COM36 Failed接続復元フラグ(0:無効|1:有効)</t>
  </si>
  <si>
    <t>SIP_COM36_RESTORE_FAILED_CONNECTS</t>
  </si>
  <si>
    <t>SerialIP COM36 ユーザー認証(0:None|1:PromptAtLogin|2:Windows|3:Fixed|4:PromptAtPortOpen)</t>
  </si>
  <si>
    <t>SIP_COM36_USER_AUTHENTICATION</t>
  </si>
  <si>
    <t>SerialIP COM36 ユーザー名</t>
  </si>
  <si>
    <t>SIP_COM36_USERNAME</t>
  </si>
  <si>
    <t>SerialIP COM36 パスワード</t>
  </si>
  <si>
    <t>SIP_COM36_PASSWORD</t>
  </si>
  <si>
    <t>SerialIP COM36 暗号化プロトコル(0:None|1:SSLv3|2:TLSv1|3:Any)</t>
  </si>
  <si>
    <t>SIP_COM36_ENCRYPTION_PROTOCOL</t>
  </si>
  <si>
    <t>SerialIP COM37 COMポート番号</t>
  </si>
  <si>
    <t>SIP_COM37_PORT_NO</t>
  </si>
  <si>
    <t>SerialIP COM37 サーバーアドレス</t>
  </si>
  <si>
    <t>SIP_COM37_SERVER_ADDRESS</t>
  </si>
  <si>
    <t>SerialIP COM37 サーバーポート</t>
  </si>
  <si>
    <t>SIP_COM37_SERVER_PORT</t>
  </si>
  <si>
    <t>SerialIP COM37 送信有効フラグ(0:無効|1:有効)</t>
  </si>
  <si>
    <t>SIP_COM37_OUTBOUND_ENABLED</t>
  </si>
  <si>
    <t>SerialIP COM37 受信ポート</t>
  </si>
  <si>
    <t>SIP_COM37_INCOMING_PORT</t>
  </si>
  <si>
    <t>SerialIP COM37 受信有効フラグ(0:無効|1:有効)</t>
  </si>
  <si>
    <t>SIP_COM37_INBOUND_ENABLED</t>
  </si>
  <si>
    <t>SerialIP COM37 Telnetプロトコル(0:None|1:TSTelnet|2:CrPadding)</t>
  </si>
  <si>
    <t>SIP_COM37_TELNET_PROTOCOL</t>
  </si>
  <si>
    <t>SerialIP COM37 DCDエミュレーション(0:None|1:AlwaysHigh|2:AlwaysLow|3:TrackConnection)</t>
  </si>
  <si>
    <t>SIP_COM37_DCD_EMULATION</t>
  </si>
  <si>
    <t>SerialIP COM37 DSRエミュレーション(0:None|1:AlwaysHigh|2:AlwaysLow|3:TrackConnection)</t>
  </si>
  <si>
    <t>SIP_COM37_DSR_EMULATION</t>
  </si>
  <si>
    <t>SerialIP COM37 CTSエミュレーション(0:None|1:AlwaysHigh|2:AlwaysLow|3:TrackConnection)</t>
  </si>
  <si>
    <t>SIP_COM37_CTS_EMULATION</t>
  </si>
  <si>
    <t>SerialIP COM37 DTRモデムエスケープフラグ(0:無効|1:有効)</t>
  </si>
  <si>
    <t>SerialIP COM37 Failed接続復元フラグ(0:無効|1:有効)</t>
  </si>
  <si>
    <t>SIP_COM37_RESTORE_FAILED_CONNECTS</t>
  </si>
  <si>
    <t>SerialIP COM37 ユーザー認証(0:None|1:PromptAtLogin|2:Windows|3:Fixed|4:PromptAtPortOpen)</t>
  </si>
  <si>
    <t>SIP_COM37_USER_AUTHENTICATION</t>
  </si>
  <si>
    <t>SerialIP COM37 ユーザー名</t>
  </si>
  <si>
    <t>SIP_COM37_USERNAME</t>
  </si>
  <si>
    <t>SerialIP COM37 パスワード</t>
  </si>
  <si>
    <t>SIP_COM37_PASSWORD</t>
  </si>
  <si>
    <t>SerialIP COM37 暗号化プロトコル(0:None|1:SSLv3|2:TLSv1|3:Any)</t>
  </si>
  <si>
    <t>SIP_COM37_ENCRYPTION_PROTOCOL</t>
  </si>
  <si>
    <t>SerialIP COM38 COMポート番号</t>
  </si>
  <si>
    <t>SIP_COM38_PORT_NO</t>
  </si>
  <si>
    <t>SerialIP COM38 サーバーアドレス</t>
  </si>
  <si>
    <t>SIP_COM38_SERVER_ADDRESS</t>
  </si>
  <si>
    <t>SerialIP COM38 サーバーポート</t>
  </si>
  <si>
    <t>SIP_COM38_SERVER_PORT</t>
  </si>
  <si>
    <t>SerialIP COM38 送信有効フラグ(0:無効|1:有効)</t>
  </si>
  <si>
    <t>SIP_COM38_OUTBOUND_ENABLED</t>
  </si>
  <si>
    <t>SerialIP COM38 受信ポート</t>
  </si>
  <si>
    <t>SIP_COM38_INCOMING_PORT</t>
  </si>
  <si>
    <t>SerialIP COM38 受信有効フラグ(0:無効|1:有効)</t>
  </si>
  <si>
    <t>SIP_COM38_INBOUND_ENABLED</t>
  </si>
  <si>
    <t>SerialIP COM38 Telnetプロトコル(0:None|1:TSTelnet|2:CrPadding)</t>
  </si>
  <si>
    <t>SIP_COM38_TELNET_PROTOCOL</t>
  </si>
  <si>
    <t>SerialIP COM38 DCDエミュレーション(0:None|1:AlwaysHigh|2:AlwaysLow|3:TrackConnection)</t>
  </si>
  <si>
    <t>SIP_COM38_DCD_EMULATION</t>
  </si>
  <si>
    <t>SerialIP COM38 DSRエミュレーション(0:None|1:AlwaysHigh|2:AlwaysLow|3:TrackConnection)</t>
  </si>
  <si>
    <t>SIP_COM38_DSR_EMULATION</t>
  </si>
  <si>
    <t>SerialIP COM38 CTSエミュレーション(0:None|1:AlwaysHigh|2:AlwaysLow|3:TrackConnection)</t>
  </si>
  <si>
    <t>SIP_COM38_CTS_EMULATION</t>
  </si>
  <si>
    <t>SerialIP COM38 DTRモデムエスケープフラグ(0:無効|1:有効)</t>
  </si>
  <si>
    <t>SerialIP COM38 Failed接続復元フラグ(0:無効|1:有効)</t>
  </si>
  <si>
    <t>SIP_COM38_RESTORE_FAILED_CONNECTS</t>
  </si>
  <si>
    <t>SerialIP COM38 ユーザー認証(0:None|1:PromptAtLogin|2:Windows|3:Fixed|4:PromptAtPortOpen)</t>
  </si>
  <si>
    <t>SIP_COM38_USER_AUTHENTICATION</t>
  </si>
  <si>
    <t>SerialIP COM38 ユーザー名</t>
  </si>
  <si>
    <t>SIP_COM38_USERNAME</t>
  </si>
  <si>
    <t>SerialIP COM38 パスワード</t>
  </si>
  <si>
    <t>SIP_COM38_PASSWORD</t>
  </si>
  <si>
    <t>SerialIP COM38 暗号化プロトコル(0:None|1:SSLv3|2:TLSv1|3:Any)</t>
  </si>
  <si>
    <t>SIP_COM38_ENCRYPTION_PROTOCOL</t>
  </si>
  <si>
    <t>SerialIP COM39 COMポート番号</t>
  </si>
  <si>
    <t>SIP_COM39_PORT_NO</t>
  </si>
  <si>
    <t>SerialIP COM39 サーバーアドレス</t>
  </si>
  <si>
    <t>SIP_COM39_SERVER_ADDRESS</t>
  </si>
  <si>
    <t>SerialIP COM39 サーバーポート</t>
  </si>
  <si>
    <t>SIP_COM39_SERVER_PORT</t>
  </si>
  <si>
    <t>SerialIP COM39 送信有効フラグ(0:無効|1:有効)</t>
  </si>
  <si>
    <t>SIP_COM39_OUTBOUND_ENABLED</t>
  </si>
  <si>
    <t>SerialIP COM39 受信ポート</t>
  </si>
  <si>
    <t>SIP_COM39_INCOMING_PORT</t>
  </si>
  <si>
    <t>SerialIP COM39 受信有効フラグ(0:無効|1:有効)</t>
  </si>
  <si>
    <t>SIP_COM39_INBOUND_ENABLED</t>
  </si>
  <si>
    <t>SerialIP COM39 Telnetプロトコル(0:None|1:TSTelnet|2:CrPadding)</t>
  </si>
  <si>
    <t>SIP_COM39_TELNET_PROTOCOL</t>
  </si>
  <si>
    <t>SerialIP COM39 DCDエミュレーション(0:None|1:AlwaysHigh|2:AlwaysLow|3:TrackConnection)</t>
  </si>
  <si>
    <t>SIP_COM39_DCD_EMULATION</t>
  </si>
  <si>
    <t>SerialIP COM39 DSRエミュレーション(0:None|1:AlwaysHigh|2:AlwaysLow|3:TrackConnection)</t>
  </si>
  <si>
    <t>SIP_COM39_DSR_EMULATION</t>
  </si>
  <si>
    <t>SerialIP COM39 CTSエミュレーション(0:None|1:AlwaysHigh|2:AlwaysLow|3:TrackConnection)</t>
  </si>
  <si>
    <t>SIP_COM39_CTS_EMULATION</t>
  </si>
  <si>
    <t>SerialIP COM39 DTRモデムエスケープフラグ(0:無効|1:有効)</t>
  </si>
  <si>
    <t>SerialIP COM39 Failed接続復元フラグ(0:無効|1:有効)</t>
  </si>
  <si>
    <t>SIP_COM39_RESTORE_FAILED_CONNECTS</t>
  </si>
  <si>
    <t>SerialIP COM39 ユーザー認証(0:None|1:PromptAtLogin|2:Windows|3:Fixed|4:PromptAtPortOpen)</t>
  </si>
  <si>
    <t>SIP_COM39_USER_AUTHENTICATION</t>
  </si>
  <si>
    <t>SerialIP COM39 ユーザー名</t>
  </si>
  <si>
    <t>SIP_COM39_USERNAME</t>
  </si>
  <si>
    <t>SerialIP COM39 パスワード</t>
  </si>
  <si>
    <t>SIP_COM39_PASSWORD</t>
  </si>
  <si>
    <t>SerialIP COM39 暗号化プロトコル(0:None|1:SSLv3|2:TLSv1|3:Any)</t>
  </si>
  <si>
    <t>SIP_COM39_ENCRYPTION_PROTOCOL</t>
  </si>
  <si>
    <t>SerialIP COM40 COMポート番号</t>
  </si>
  <si>
    <t>SIP_COM40_PORT_NO</t>
  </si>
  <si>
    <t>SerialIP COM40 サーバーアドレス</t>
  </si>
  <si>
    <t>SIP_COM40_SERVER_ADDRESS</t>
  </si>
  <si>
    <t>SerialIP COM40 サーバーポート</t>
  </si>
  <si>
    <t>SIP_COM40_SERVER_PORT</t>
  </si>
  <si>
    <t>SerialIP COM40 送信有効フラグ(0:無効|1:有効)</t>
  </si>
  <si>
    <t>SIP_COM40_OUTBOUND_ENABLED</t>
  </si>
  <si>
    <t>SerialIP COM40 受信ポート</t>
  </si>
  <si>
    <t>SIP_COM40_INCOMING_PORT</t>
  </si>
  <si>
    <t>SerialIP COM40 受信有効フラグ(0:無効|1:有効)</t>
  </si>
  <si>
    <t>SIP_COM40_INBOUND_ENABLED</t>
  </si>
  <si>
    <t>SerialIP COM40 Telnetプロトコル(0:None|1:TSTelnet|2:CrPadding)</t>
  </si>
  <si>
    <t>SIP_COM40_TELNET_PROTOCOL</t>
  </si>
  <si>
    <t>SerialIP COM40 DCDエミュレーション(0:None|1:AlwaysHigh|2:AlwaysLow|3:TrackConnection)</t>
  </si>
  <si>
    <t>SIP_COM40_DCD_EMULATION</t>
  </si>
  <si>
    <t>SerialIP COM40 DSRエミュレーション(0:None|1:AlwaysHigh|2:AlwaysLow|3:TrackConnection)</t>
  </si>
  <si>
    <t>SIP_COM40_DSR_EMULATION</t>
  </si>
  <si>
    <t>SerialIP COM40 DTRモデムエスケープフラグ(0:無効|1:有効)</t>
  </si>
  <si>
    <t>SerialIP COM40 Failed接続復元フラグ(0:無効|1:有効)</t>
  </si>
  <si>
    <t>SIP_COM40_RESTORE_FAILED_CONNECTS</t>
  </si>
  <si>
    <t>SerialIP COM40 ユーザー認証(0:None|1:PromptAtLogin|2:Windows|3:Fixed|4:PromptAtPortOpen)</t>
  </si>
  <si>
    <t>SIP_COM40_USER_AUTHENTICATION</t>
  </si>
  <si>
    <t>SerialIP COM40 ユーザー名</t>
  </si>
  <si>
    <t>SIP_COM40_USERNAME</t>
  </si>
  <si>
    <t>SerialIP COM40 パスワード</t>
  </si>
  <si>
    <t>SIP_COM40_PASSWORD</t>
  </si>
  <si>
    <t>SerialIP COM40 暗号化プロトコル(0:None|1:SSLv3|2:TLSv1|3:Any)</t>
  </si>
  <si>
    <t>SIP_COM40_ENCRYPTION_PROTOCOL</t>
  </si>
  <si>
    <t>SerialIP COM41 COMポート番号</t>
  </si>
  <si>
    <t>SIP_COM41_PORT_NO</t>
  </si>
  <si>
    <t>SerialIP COM41 サーバーアドレス</t>
  </si>
  <si>
    <t>SIP_COM41_SERVER_ADDRESS</t>
  </si>
  <si>
    <t>SerialIP COM41 サーバーポート</t>
  </si>
  <si>
    <t>SIP_COM41_SERVER_PORT</t>
  </si>
  <si>
    <t>SerialIP COM41 送信有効フラグ(0:無効|1:有効)</t>
  </si>
  <si>
    <t>SIP_COM41_OUTBOUND_ENABLED</t>
  </si>
  <si>
    <t>SerialIP COM41 受信ポート</t>
  </si>
  <si>
    <t>SIP_COM41_INCOMING_PORT</t>
  </si>
  <si>
    <t>SerialIP COM41 受信有効フラグ(0:無効|1:有効)</t>
  </si>
  <si>
    <t>SIP_COM41_INBOUND_ENABLED</t>
  </si>
  <si>
    <t>SerialIP COM41 Telnetプロトコル(0:None|1:TSTelnet|2:CrPadding)</t>
  </si>
  <si>
    <t>SIP_COM41_TELNET_PROTOCOL</t>
  </si>
  <si>
    <t>SerialIP COM41 DCDエミュレーション(0:None|1:AlwaysHigh|2:AlwaysLow|3:TrackConnection)</t>
  </si>
  <si>
    <t>SIP_COM41_DCD_EMULATION</t>
  </si>
  <si>
    <t>SerialIP COM41 DSRエミュレーション(0:None|1:AlwaysHigh|2:AlwaysLow|3:TrackConnection)</t>
  </si>
  <si>
    <t>SIP_COM41_DSR_EMULATION</t>
  </si>
  <si>
    <t>SerialIP COM41 CTSエミュレーション(0:None|1:AlwaysHigh|2:AlwaysLow|3:TrackConnection)</t>
  </si>
  <si>
    <t>SIP_COM41_CTS_EMULATION</t>
  </si>
  <si>
    <t>SerialIP COM41 DTRモデムエスケープフラグ(0:無効|1:有効)</t>
  </si>
  <si>
    <t>SerialIP COM41 Failed接続復元フラグ(0:無効|1:有効)</t>
  </si>
  <si>
    <t>SIP_COM41_RESTORE_FAILED_CONNECTS</t>
  </si>
  <si>
    <t>SerialIP COM41 ユーザー認証(0:None|1:PromptAtLogin|2:Windows|3:Fixed|4:PromptAtPortOpen)</t>
  </si>
  <si>
    <t>SIP_COM41_USER_AUTHENTICATION</t>
  </si>
  <si>
    <t>SerialIP COM41 ユーザー名</t>
  </si>
  <si>
    <t>SIP_COM41_USERNAME</t>
  </si>
  <si>
    <t>SerialIP COM41 パスワード</t>
  </si>
  <si>
    <t>SIP_COM41_PASSWORD</t>
  </si>
  <si>
    <t>SerialIP COM41 暗号化プロトコル(0:None|1:SSLv3|2:TLSv1|3:Any)</t>
  </si>
  <si>
    <t>SIP_COM41_ENCRYPTION_PROTOCOL</t>
  </si>
  <si>
    <t>SerialIP COM42 COMポート番号</t>
  </si>
  <si>
    <t>SIP_COM42_PORT_NO</t>
  </si>
  <si>
    <t>SerialIP COM42 サーバーアドレス</t>
  </si>
  <si>
    <t>SIP_COM42_SERVER_ADDRESS</t>
  </si>
  <si>
    <t>SerialIP COM42 サーバーポート</t>
  </si>
  <si>
    <t>SIP_COM42_SERVER_PORT</t>
  </si>
  <si>
    <t>SerialIP COM42 送信有効フラグ(0:無効|1:有効)</t>
  </si>
  <si>
    <t>SIP_COM42_OUTBOUND_ENABLED</t>
  </si>
  <si>
    <t>SerialIP COM42 受信ポート</t>
  </si>
  <si>
    <t>SIP_COM42_INCOMING_PORT</t>
  </si>
  <si>
    <t>SerialIP COM42 受信有効フラグ(0:無効|1:有効)</t>
  </si>
  <si>
    <t>SIP_COM42_INBOUND_ENABLED</t>
  </si>
  <si>
    <t>SerialIP COM42 Telnetプロトコル(0:None|1:TSTelnet|2:CrPadding)</t>
  </si>
  <si>
    <t>SIP_COM42_TELNET_PROTOCOL</t>
  </si>
  <si>
    <t>SerialIP COM42 DCDエミュレーション(0:None|1:AlwaysHigh|2:AlwaysLow|3:TrackConnection)</t>
  </si>
  <si>
    <t>SIP_COM42_DCD_EMULATION</t>
  </si>
  <si>
    <t>SerialIP COM42 DSRエミュレーション(0:None|1:AlwaysHigh|2:AlwaysLow|3:TrackConnection)</t>
  </si>
  <si>
    <t>SIP_COM42_DSR_EMULATION</t>
  </si>
  <si>
    <t>SerialIP COM42 CTSエミュレーション(0:None|1:AlwaysHigh|2:AlwaysLow|3:TrackConnection)</t>
  </si>
  <si>
    <t>SIP_COM42_CTS_EMULATION</t>
  </si>
  <si>
    <t>SerialIP COM42 DTRモデムエスケープフラグ(0:無効|1:有効)</t>
  </si>
  <si>
    <t>SerialIP COM42 Failed接続復元フラグ(0:無効|1:有効)</t>
  </si>
  <si>
    <t>SIP_COM42_RESTORE_FAILED_CONNECTS</t>
  </si>
  <si>
    <t>SerialIP COM42 ユーザー認証(0:None|1:PromptAtLogin|2:Windows|3:Fixed|4:PromptAtPortOpen)</t>
  </si>
  <si>
    <t>SIP_COM42_USER_AUTHENTICATION</t>
  </si>
  <si>
    <t>SerialIP COM42 ユーザー名</t>
  </si>
  <si>
    <t>SIP_COM42_USERNAME</t>
  </si>
  <si>
    <t>SerialIP COM42 パスワード</t>
  </si>
  <si>
    <t>SIP_COM42_PASSWORD</t>
  </si>
  <si>
    <t>SerialIP COM42 暗号化プロトコル(0:None|1:SSLv3|2:TLSv1|3:Any)</t>
  </si>
  <si>
    <t>SIP_COM42_ENCRYPTION_PROTOCOL</t>
  </si>
  <si>
    <t>SerialIP COM43 COMポート番号</t>
  </si>
  <si>
    <t>SIP_COM43_PORT_NO</t>
  </si>
  <si>
    <t>SerialIP COM43 サーバーアドレス</t>
  </si>
  <si>
    <t>SIP_COM43_SERVER_ADDRESS</t>
  </si>
  <si>
    <t>SerialIP COM43 サーバーポート</t>
  </si>
  <si>
    <t>SIP_COM43_SERVER_PORT</t>
  </si>
  <si>
    <t>SerialIP COM43 送信有効フラグ(0:無効|1:有効)</t>
  </si>
  <si>
    <t>SIP_COM43_OUTBOUND_ENABLED</t>
  </si>
  <si>
    <t>SerialIP COM43 受信ポート</t>
  </si>
  <si>
    <t>SIP_COM43_INCOMING_PORT</t>
  </si>
  <si>
    <t>SerialIP COM43 受信有効フラグ(0:無効|1:有効)</t>
  </si>
  <si>
    <t>SIP_COM43_INBOUND_ENABLED</t>
  </si>
  <si>
    <t>SerialIP COM43 Telnetプロトコル(0:None|1:TSTelnet|2:CrPadding)</t>
  </si>
  <si>
    <t>SIP_COM43_TELNET_PROTOCOL</t>
  </si>
  <si>
    <t>SerialIP COM43 DCDエミュレーション(0:None|1:AlwaysHigh|2:AlwaysLow|3:TrackConnection)</t>
  </si>
  <si>
    <t>SIP_COM43_DCD_EMULATION</t>
  </si>
  <si>
    <t>SerialIP COM43 DSRエミュレーション(0:None|1:AlwaysHigh|2:AlwaysLow|3:TrackConnection)</t>
  </si>
  <si>
    <t>SIP_COM43_DSR_EMULATION</t>
  </si>
  <si>
    <t>SerialIP COM43 CTSエミュレーション(0:None|1:AlwaysHigh|2:AlwaysLow|3:TrackConnection)</t>
  </si>
  <si>
    <t>SIP_COM43_CTS_EMULATION</t>
  </si>
  <si>
    <t>SerialIP COM43 DTRモデムエスケープフラグ(0:無効|1:有効)</t>
  </si>
  <si>
    <t>SerialIP COM43 Failed接続復元フラグ(0:無効|1:有効)</t>
  </si>
  <si>
    <t>SIP_COM43_RESTORE_FAILED_CONNECTS</t>
  </si>
  <si>
    <t>SerialIP COM43 ユーザー認証(0:None|1:PromptAtLogin|2:Windows|3:Fixed|4:PromptAtPortOpen)</t>
  </si>
  <si>
    <t>SIP_COM43_USER_AUTHENTICATION</t>
  </si>
  <si>
    <t>SerialIP COM43 ユーザー名</t>
  </si>
  <si>
    <t>SIP_COM43_USERNAME</t>
  </si>
  <si>
    <t>SerialIP COM43 パスワード</t>
  </si>
  <si>
    <t>SIP_COM43_PASSWORD</t>
  </si>
  <si>
    <t>SerialIP COM43 暗号化プロトコル(0:None|1:SSLv3|2:TLSv1|3:Any)</t>
  </si>
  <si>
    <t>SIP_COM43_ENCRYPTION_PROTOCOL</t>
  </si>
  <si>
    <t>SerialIP COM44 COMポート番号</t>
  </si>
  <si>
    <t>SIP_COM44_PORT_NO</t>
  </si>
  <si>
    <t>SerialIP COM44 サーバーアドレス</t>
  </si>
  <si>
    <t>SIP_COM44_SERVER_ADDRESS</t>
  </si>
  <si>
    <t>SerialIP COM44 サーバーポート</t>
  </si>
  <si>
    <t>SIP_COM44_SERVER_PORT</t>
  </si>
  <si>
    <t>SerialIP COM44 送信有効フラグ(0:無効|1:有効)</t>
  </si>
  <si>
    <t>SIP_COM44_OUTBOUND_ENABLED</t>
  </si>
  <si>
    <t>SerialIP COM44 受信ポート</t>
  </si>
  <si>
    <t>SIP_COM44_INCOMING_PORT</t>
  </si>
  <si>
    <t>SerialIP COM44 受信有効フラグ(0:無効|1:有効)</t>
  </si>
  <si>
    <t>SIP_COM44_INBOUND_ENABLED</t>
  </si>
  <si>
    <t>SerialIP COM44 Telnetプロトコル(0:None|1:TSTelnet|2:CrPadding)</t>
  </si>
  <si>
    <t>SIP_COM44_TELNET_PROTOCOL</t>
  </si>
  <si>
    <t>SerialIP COM44 DCDエミュレーション(0:None|1:AlwaysHigh|2:AlwaysLow|3:TrackConnection)</t>
  </si>
  <si>
    <t>SIP_COM44_DCD_EMULATION</t>
  </si>
  <si>
    <t>SerialIP COM44 DSRエミュレーション(0:None|1:AlwaysHigh|2:AlwaysLow|3:TrackConnection)</t>
  </si>
  <si>
    <t>SIP_COM44_DSR_EMULATION</t>
  </si>
  <si>
    <t>SerialIP COM44 CTSエミュレーション(0:None|1:AlwaysHigh|2:AlwaysLow|3:TrackConnection)</t>
  </si>
  <si>
    <t>SIP_COM44_CTS_EMULATION</t>
  </si>
  <si>
    <t>SerialIP COM44 DTRモデムエスケープフラグ(0:無効|1:有効)</t>
  </si>
  <si>
    <t>SerialIP COM44 Failed接続復元フラグ(0:無効|1:有効)</t>
  </si>
  <si>
    <t>SIP_COM44_RESTORE_FAILED_CONNECTS</t>
  </si>
  <si>
    <t>SerialIP COM44 ユーザー認証(0:None|1:PromptAtLogin|2:Windows|3:Fixed|4:PromptAtPortOpen)</t>
  </si>
  <si>
    <t>SIP_COM44_USER_AUTHENTICATION</t>
  </si>
  <si>
    <t>SerialIP COM44 ユーザー名</t>
  </si>
  <si>
    <t>SIP_COM44_USERNAME</t>
  </si>
  <si>
    <t>SerialIP COM44 パスワード</t>
  </si>
  <si>
    <t>SIP_COM44_PASSWORD</t>
  </si>
  <si>
    <t>SerialIP COM44 暗号化プロトコル(0:None|1:SSLv3|2:TLSv1|3:Any)</t>
  </si>
  <si>
    <t>SIP_COM44_ENCRYPTION_PROTOCOL</t>
  </si>
  <si>
    <t>SerialIP COM45 COMポート番号</t>
  </si>
  <si>
    <t>SIP_COM45_PORT_NO</t>
  </si>
  <si>
    <t>SerialIP COM45 サーバーアドレス</t>
  </si>
  <si>
    <t>SIP_COM45_SERVER_ADDRESS</t>
  </si>
  <si>
    <t>SerialIP COM45 サーバーポート</t>
  </si>
  <si>
    <t>SIP_COM45_SERVER_PORT</t>
  </si>
  <si>
    <t>SerialIP COM45 送信有効フラグ(0:無効|1:有効)</t>
  </si>
  <si>
    <t>SIP_COM45_OUTBOUND_ENABLED</t>
  </si>
  <si>
    <t>SerialIP COM45 受信ポート</t>
  </si>
  <si>
    <t>SIP_COM45_INCOMING_PORT</t>
  </si>
  <si>
    <t>SerialIP COM45 受信有効フラグ(0:無効|1:有効)</t>
  </si>
  <si>
    <t>SIP_COM45_INBOUND_ENABLED</t>
  </si>
  <si>
    <t>SerialIP COM45 Telnetプロトコル(0:None|1:TSTelnet|2:CrPadding)</t>
  </si>
  <si>
    <t>SIP_COM45_TELNET_PROTOCOL</t>
  </si>
  <si>
    <t>SerialIP COM45 DCDエミュレーション(0:None|1:AlwaysHigh|2:AlwaysLow|3:TrackConnection)</t>
  </si>
  <si>
    <t>SIP_COM45_DCD_EMULATION</t>
  </si>
  <si>
    <t>SerialIP COM45 DSRエミュレーション(0:None|1:AlwaysHigh|2:AlwaysLow|3:TrackConnection)</t>
  </si>
  <si>
    <t>SIP_COM45_DSR_EMULATION</t>
  </si>
  <si>
    <t>SerialIP COM45 CTSエミュレーション(0:None|1:AlwaysHigh|2:AlwaysLow|3:TrackConnection)</t>
  </si>
  <si>
    <t>SIP_COM45_CTS_EMULATION</t>
  </si>
  <si>
    <t>SerialIP COM45 DTRモデムエスケープフラグ(0:無効|1:有効)</t>
  </si>
  <si>
    <t>SerialIP COM45 Failed接続復元フラグ(0:無効|1:有効)</t>
  </si>
  <si>
    <t>SIP_COM45_RESTORE_FAILED_CONNECTS</t>
  </si>
  <si>
    <t>SerialIP COM45 ユーザー認証(0:None|1:PromptAtLogin|2:Windows|3:Fixed|4:PromptAtPortOpen)</t>
  </si>
  <si>
    <t>SIP_COM45_USER_AUTHENTICATION</t>
  </si>
  <si>
    <t>SerialIP COM45 ユーザー名</t>
  </si>
  <si>
    <t>SIP_COM45_USERNAME</t>
  </si>
  <si>
    <t>SerialIP COM45 パスワード</t>
  </si>
  <si>
    <t>SIP_COM45_PASSWORD</t>
  </si>
  <si>
    <t>SerialIP COM45 暗号化プロトコル(0:None|1:SSLv3|2:TLSv1|3:Any)</t>
  </si>
  <si>
    <t>SIP_COM45_ENCRYPTION_PROTOCOL</t>
  </si>
  <si>
    <t>SerialIP COM46 COMポート番号</t>
  </si>
  <si>
    <t>SIP_COM46_PORT_NO</t>
  </si>
  <si>
    <t>SerialIP COM46 サーバーアドレス</t>
  </si>
  <si>
    <t>SIP_COM46_SERVER_ADDRESS</t>
  </si>
  <si>
    <t>SerialIP COM46 サーバーポート</t>
  </si>
  <si>
    <t>SIP_COM46_SERVER_PORT</t>
  </si>
  <si>
    <t>SerialIP COM46 送信有効フラグ(0:無効|1:有効)</t>
  </si>
  <si>
    <t>SIP_COM46_OUTBOUND_ENABLED</t>
  </si>
  <si>
    <t>SerialIP COM46 受信ポート</t>
  </si>
  <si>
    <t>SIP_COM46_INCOMING_PORT</t>
  </si>
  <si>
    <t>SerialIP COM46 受信有効フラグ(0:無効|1:有効)</t>
  </si>
  <si>
    <t>SIP_COM46_INBOUND_ENABLED</t>
  </si>
  <si>
    <t>SerialIP COM46 Telnetプロトコル(0:None|1:TSTelnet|2:CrPadding)</t>
  </si>
  <si>
    <t>SIP_COM46_TELNET_PROTOCOL</t>
  </si>
  <si>
    <t>SerialIP COM46 DCDエミュレーション(0:None|1:AlwaysHigh|2:AlwaysLow|3:TrackConnection)</t>
  </si>
  <si>
    <t>SIP_COM46_DCD_EMULATION</t>
  </si>
  <si>
    <t>SerialIP COM46 DSRエミュレーション(0:None|1:AlwaysHigh|2:AlwaysLow|3:TrackConnection)</t>
  </si>
  <si>
    <t>SIP_COM46_DSR_EMULATION</t>
  </si>
  <si>
    <t>SerialIP COM46 CTSエミュレーション(0:None|1:AlwaysHigh|2:AlwaysLow|3:TrackConnection)</t>
  </si>
  <si>
    <t>SIP_COM46_CTS_EMULATION</t>
  </si>
  <si>
    <t>SerialIP COM46 DTRモデムエスケープフラグ(0:無効|1:有効)</t>
  </si>
  <si>
    <t>SerialIP COM46 Failed接続復元フラグ(0:無効|1:有効)</t>
  </si>
  <si>
    <t>SIP_COM46_RESTORE_FAILED_CONNECTS</t>
  </si>
  <si>
    <t>SerialIP COM46 ユーザー認証(0:None|1:PromptAtLogin|2:Windows|3:Fixed|4:PromptAtPortOpen)</t>
  </si>
  <si>
    <t>SIP_COM46_USER_AUTHENTICATION</t>
  </si>
  <si>
    <t>SerialIP COM46 ユーザー名</t>
  </si>
  <si>
    <t>SIP_COM46_USERNAME</t>
  </si>
  <si>
    <t>SerialIP COM46 パスワード</t>
  </si>
  <si>
    <t>SIP_COM46_PASSWORD</t>
  </si>
  <si>
    <t>SerialIP COM46 暗号化プロトコル(0:None|1:SSLv3|2:TLSv1|3:Any)</t>
  </si>
  <si>
    <t>SIP_COM46_ENCRYPTION_PROTOCOL</t>
  </si>
  <si>
    <t>SerialIP COM47 COMポート番号</t>
  </si>
  <si>
    <t>SIP_COM47_PORT_NO</t>
  </si>
  <si>
    <t>SerialIP COM47 サーバーアドレス</t>
  </si>
  <si>
    <t>SIP_COM47_SERVER_ADDRESS</t>
  </si>
  <si>
    <t>SerialIP COM47 サーバーポート</t>
  </si>
  <si>
    <t>SIP_COM47_SERVER_PORT</t>
  </si>
  <si>
    <t>SerialIP COM47 送信有効フラグ(0:無効|1:有効)</t>
  </si>
  <si>
    <t>SIP_COM47_OUTBOUND_ENABLED</t>
  </si>
  <si>
    <t>SerialIP COM47 受信ポート</t>
  </si>
  <si>
    <t>SIP_COM47_INCOMING_PORT</t>
  </si>
  <si>
    <t>SerialIP COM47 受信有効フラグ(0:無効|1:有効)</t>
  </si>
  <si>
    <t>SIP_COM47_INBOUND_ENABLED</t>
  </si>
  <si>
    <t>SerialIP COM47 Telnetプロトコル(0:None|1:TSTelnet|2:CrPadding)</t>
  </si>
  <si>
    <t>SIP_COM47_TELNET_PROTOCOL</t>
  </si>
  <si>
    <t>SerialIP COM47 DCDエミュレーション(0:None|1:AlwaysHigh|2:AlwaysLow|3:TrackConnection)</t>
  </si>
  <si>
    <t>SIP_COM47_DCD_EMULATION</t>
  </si>
  <si>
    <t>SerialIP COM47 DSRエミュレーション(0:None|1:AlwaysHigh|2:AlwaysLow|3:TrackConnection)</t>
  </si>
  <si>
    <t>SIP_COM47_DSR_EMULATION</t>
  </si>
  <si>
    <t>SerialIP COM47 CTSエミュレーション(0:None|1:AlwaysHigh|2:AlwaysLow|3:TrackConnection)</t>
  </si>
  <si>
    <t>SIP_COM47_CTS_EMULATION</t>
  </si>
  <si>
    <t>SerialIP COM47 DTRモデムエスケープフラグ(0:無効|1:有効)</t>
  </si>
  <si>
    <t>SerialIP COM47 Failed接続復元フラグ(0:無効|1:有効)</t>
  </si>
  <si>
    <t>SIP_COM47_RESTORE_FAILED_CONNECTS</t>
  </si>
  <si>
    <t>SerialIP COM47 ユーザー認証(0:None|1:PromptAtLogin|2:Windows|3:Fixed|4:PromptAtPortOpen)</t>
  </si>
  <si>
    <t>SIP_COM47_USER_AUTHENTICATION</t>
  </si>
  <si>
    <t>SerialIP COM47 ユーザー名</t>
  </si>
  <si>
    <t>SIP_COM47_USERNAME</t>
  </si>
  <si>
    <t>SerialIP COM47 パスワード</t>
  </si>
  <si>
    <t>SIP_COM47_PASSWORD</t>
  </si>
  <si>
    <t>SerialIP COM47 暗号化プロトコル(0:None|1:SSLv3|2:TLSv1|3:Any)</t>
  </si>
  <si>
    <t>SIP_COM47_ENCRYPTION_PROTOCOL</t>
  </si>
  <si>
    <t>SerialIP COM48 COMポート番号</t>
  </si>
  <si>
    <t>SIP_COM48_PORT_NO</t>
  </si>
  <si>
    <t>SerialIP COM48 サーバーアドレス</t>
  </si>
  <si>
    <t>SIP_COM48_SERVER_ADDRESS</t>
  </si>
  <si>
    <t>SerialIP COM48 サーバーポート</t>
  </si>
  <si>
    <t>SIP_COM48_SERVER_PORT</t>
  </si>
  <si>
    <t>SerialIP COM48 送信有効フラグ(0:無効|1:有効)</t>
  </si>
  <si>
    <t>SIP_COM48_OUTBOUND_ENABLED</t>
  </si>
  <si>
    <t>SerialIP COM48 受信ポート</t>
  </si>
  <si>
    <t>SIP_COM48_INCOMING_PORT</t>
  </si>
  <si>
    <t>SerialIP COM48 受信有効フラグ(0:無効|1:有効)</t>
  </si>
  <si>
    <t>SIP_COM48_INBOUND_ENABLED</t>
  </si>
  <si>
    <t>SerialIP COM48 Telnetプロトコル(0:None|1:TSTelnet|2:CrPadding)</t>
  </si>
  <si>
    <t>SIP_COM48_TELNET_PROTOCOL</t>
  </si>
  <si>
    <t>SerialIP COM48 DCDエミュレーション(0:None|1:AlwaysHigh|2:AlwaysLow|3:TrackConnection)</t>
  </si>
  <si>
    <t>SIP_COM48_DCD_EMULATION</t>
  </si>
  <si>
    <t>SerialIP COM48 DSRエミュレーション(0:None|1:AlwaysHigh|2:AlwaysLow|3:TrackConnection)</t>
  </si>
  <si>
    <t>SIP_COM48_DSR_EMULATION</t>
  </si>
  <si>
    <t>SerialIP COM48 CTSエミュレーション(0:None|1:AlwaysHigh|2:AlwaysLow|3:TrackConnection)</t>
  </si>
  <si>
    <t>SIP_COM48_CTS_EMULATION</t>
  </si>
  <si>
    <t>SerialIP COM48 DTRモデムエスケープフラグ(0:無効|1:有効)</t>
  </si>
  <si>
    <t>SerialIP COM48 Failed接続復元フラグ(0:無効|1:有効)</t>
  </si>
  <si>
    <t>SIP_COM48_RESTORE_FAILED_CONNECTS</t>
  </si>
  <si>
    <t>SerialIP COM48 ユーザー認証(0:None|1:PromptAtLogin|2:Windows|3:Fixed|4:PromptAtPortOpen)</t>
  </si>
  <si>
    <t>SIP_COM48_USER_AUTHENTICATION</t>
  </si>
  <si>
    <t>SerialIP COM48 ユーザー名</t>
  </si>
  <si>
    <t>SIP_COM48_USERNAME</t>
  </si>
  <si>
    <t>SerialIP COM48 パスワード</t>
  </si>
  <si>
    <t>SIP_COM48_PASSWORD</t>
  </si>
  <si>
    <t>SerialIP COM48 暗号化プロトコル(0:None|1:SSLv3|2:TLSv1|3:Any)</t>
  </si>
  <si>
    <t>SIP_COM48_ENCRYPTION_PROTOCOL</t>
  </si>
  <si>
    <t>SerialIP COM49 COMポート番号</t>
  </si>
  <si>
    <t>SIP_COM49_PORT_NO</t>
  </si>
  <si>
    <t>SerialIP COM49 サーバーアドレス</t>
  </si>
  <si>
    <t>SIP_COM49_SERVER_ADDRESS</t>
  </si>
  <si>
    <t>SerialIP COM49 サーバーポート</t>
  </si>
  <si>
    <t>SIP_COM49_SERVER_PORT</t>
  </si>
  <si>
    <t>SerialIP COM49 送信有効フラグ(0:無効|1:有効)</t>
  </si>
  <si>
    <t>SIP_COM49_OUTBOUND_ENABLED</t>
  </si>
  <si>
    <t>SerialIP COM49 受信ポート</t>
  </si>
  <si>
    <t>SIP_COM49_INCOMING_PORT</t>
  </si>
  <si>
    <t>SerialIP COM49 受信有効フラグ(0:無効|1:有効)</t>
  </si>
  <si>
    <t>SIP_COM49_INBOUND_ENABLED</t>
  </si>
  <si>
    <t>SerialIP COM49 Telnetプロトコル(0:None|1:TSTelnet|2:CrPadding)</t>
  </si>
  <si>
    <t>SIP_COM49_TELNET_PROTOCOL</t>
  </si>
  <si>
    <t>SerialIP COM49 DCDエミュレーション(0:None|1:AlwaysHigh|2:AlwaysLow|3:TrackConnection)</t>
  </si>
  <si>
    <t>SIP_COM49_DCD_EMULATION</t>
  </si>
  <si>
    <t>SerialIP COM49 DSRエミュレーション(0:None|1:AlwaysHigh|2:AlwaysLow|3:TrackConnection)</t>
  </si>
  <si>
    <t>SIP_COM49_DSR_EMULATION</t>
  </si>
  <si>
    <t>SerialIP COM49 CTSエミュレーション(0:None|1:AlwaysHigh|2:AlwaysLow|3:TrackConnection)</t>
  </si>
  <si>
    <t>SIP_COM49_CTS_EMULATION</t>
  </si>
  <si>
    <t>SerialIP COM49 DTRモデムエスケープフラグ(0:無効|1:有効)</t>
  </si>
  <si>
    <t>SerialIP COM49 Failed接続復元フラグ(0:無効|1:有効)</t>
  </si>
  <si>
    <t>SIP_COM49_RESTORE_FAILED_CONNECTS</t>
  </si>
  <si>
    <t>SerialIP COM49 ユーザー認証(0:None|1:PromptAtLogin|2:Windows|3:Fixed|4:PromptAtPortOpen)</t>
  </si>
  <si>
    <t>SIP_COM49_USER_AUTHENTICATION</t>
  </si>
  <si>
    <t>SerialIP COM49 ユーザー名</t>
  </si>
  <si>
    <t>SIP_COM49_USERNAME</t>
  </si>
  <si>
    <t>SerialIP COM49 パスワード</t>
  </si>
  <si>
    <t>SIP_COM49_PASSWORD</t>
  </si>
  <si>
    <t>SerialIP COM49 暗号化プロトコル(0:None|1:SSLv3|2:TLSv1|3:Any)</t>
  </si>
  <si>
    <t>SIP_COM49_ENCRYPTION_PROTOCOL</t>
  </si>
  <si>
    <t>COMポートの番号を「,」区切りで設定</t>
    <rPh sb="7" eb="9">
      <t>バンゴウ</t>
    </rPh>
    <rPh sb="13" eb="15">
      <t>クギ</t>
    </rPh>
    <rPh sb="17" eb="19">
      <t>セッテイ</t>
    </rPh>
    <phoneticPr fontId="1"/>
  </si>
  <si>
    <t>0x0000000D</t>
    <phoneticPr fontId="1"/>
  </si>
  <si>
    <t>SerialIP対応</t>
    <rPh sb="8" eb="10">
      <t>タイオウ</t>
    </rPh>
    <phoneticPr fontId="1"/>
  </si>
  <si>
    <t>SIP_PORT_NO_MIN</t>
    <phoneticPr fontId="1"/>
  </si>
  <si>
    <t>0x00000000</t>
    <phoneticPr fontId="1"/>
  </si>
  <si>
    <t>SIP_COM00_DTR_IS_MODEM_SCAPE</t>
  </si>
  <si>
    <t>SIP_COM01_DTR_IS_MODEM_SCAPE</t>
  </si>
  <si>
    <t>SIP_COM02_DTR_IS_MODEM_SCAPE</t>
  </si>
  <si>
    <t>SIP_COM03_DTR_IS_MODEM_SCAPE</t>
  </si>
  <si>
    <t>SIP_COM04_DTR_IS_MODEM_SCAPE</t>
  </si>
  <si>
    <t>SIP_COM05_DTR_IS_MODEM_SCAPE</t>
  </si>
  <si>
    <t>SIP_COM06_DTR_IS_MODEM_SCAPE</t>
  </si>
  <si>
    <t>SIP_COM07_DTR_IS_MODEM_SCAPE</t>
  </si>
  <si>
    <t>SIP_COM08_DTR_IS_MODEM_SCAPE</t>
  </si>
  <si>
    <t>SIP_COM09_DTR_IS_MODEM_SCAPE</t>
  </si>
  <si>
    <t>SIP_COM10_DTR_IS_MODEM_SCAPE</t>
  </si>
  <si>
    <t>SIP_COM11_DTR_IS_MODEM_SCAPE</t>
  </si>
  <si>
    <t>SIP_COM12_DTR_IS_MODEM_SCAPE</t>
  </si>
  <si>
    <t>SIP_COM13_DTR_IS_MODEM_SCAPE</t>
  </si>
  <si>
    <t>SIP_COM14_DTR_IS_MODEM_SCAPE</t>
  </si>
  <si>
    <t>SIP_COM15_DTR_IS_MODEM_SCAPE</t>
  </si>
  <si>
    <t>SIP_COM16_DTR_IS_MODEM_SCAPE</t>
  </si>
  <si>
    <t>SIP_COM17_DTR_IS_MODEM_SCAPE</t>
  </si>
  <si>
    <t>SIP_COM18_DTR_IS_MODEM_SCAPE</t>
  </si>
  <si>
    <t>SIP_COM19_DTR_IS_MODEM_SCAPE</t>
  </si>
  <si>
    <t>SIP_COM20_DTR_IS_MODEM_SCAPE</t>
  </si>
  <si>
    <t>SIP_COM21_DTR_IS_MODEM_SCAPE</t>
  </si>
  <si>
    <t>SIP_COM22_DTR_IS_MODEM_SCAPE</t>
  </si>
  <si>
    <t>SIP_COM23_DTR_IS_MODEM_SCAPE</t>
  </si>
  <si>
    <t>SIP_COM24_DTR_IS_MODEM_SCAPE</t>
  </si>
  <si>
    <t>SIP_COM25_DTR_IS_MODEM_SCAPE</t>
  </si>
  <si>
    <t>SIP_COM26_DTR_IS_MODEM_SCAPE</t>
  </si>
  <si>
    <t>SIP_COM27_DTR_IS_MODEM_SCAPE</t>
  </si>
  <si>
    <t>SIP_COM28_DTR_IS_MODEM_SCAPE</t>
  </si>
  <si>
    <t>SIP_COM29_DTR_IS_MODEM_SCAPE</t>
  </si>
  <si>
    <t>SIP_COM30_DTR_IS_MODEM_SCAPE</t>
  </si>
  <si>
    <t>SIP_COM31_DTR_IS_MODEM_SCAPE</t>
  </si>
  <si>
    <t>SIP_COM32_DTR_IS_MODEM_SCAPE</t>
  </si>
  <si>
    <t>SIP_COM33_DTR_IS_MODEM_SCAPE</t>
  </si>
  <si>
    <t>SIP_COM34_DTR_IS_MODEM_SCAPE</t>
  </si>
  <si>
    <t>SIP_COM35_DTR_IS_MODEM_SCAPE</t>
  </si>
  <si>
    <t>SIP_COM36_DTR_IS_MODEM_SCAPE</t>
  </si>
  <si>
    <t>SIP_COM37_DTR_IS_MODEM_SCAPE</t>
  </si>
  <si>
    <t>SIP_COM38_DTR_IS_MODEM_SCAPE</t>
  </si>
  <si>
    <t>SIP_COM39_DTR_IS_MODEM_SCAPE</t>
  </si>
  <si>
    <t>SIP_COM40_DTR_IS_MODEM_SCAPE</t>
  </si>
  <si>
    <t>SIP_COM41_DTR_IS_MODEM_SCAPE</t>
  </si>
  <si>
    <t>SIP_COM42_DTR_IS_MODEM_SCAPE</t>
  </si>
  <si>
    <t>SIP_COM43_DTR_IS_MODEM_SCAPE</t>
  </si>
  <si>
    <t>SIP_COM44_DTR_IS_MODEM_SCAPE</t>
  </si>
  <si>
    <t>SIP_COM45_DTR_IS_MODEM_SCAPE</t>
  </si>
  <si>
    <t>SIP_COM46_DTR_IS_MODEM_SCAPE</t>
  </si>
  <si>
    <t>SIP_COM47_DTR_IS_MODEM_SCAPE</t>
  </si>
  <si>
    <t>SIP_COM48_DTR_IS_MODEM_SCAPE</t>
  </si>
  <si>
    <t>SIP_COM49_DTR_IS_MODEM_SCAPE</t>
  </si>
  <si>
    <t>HMSの仕様書デフォルトは0だが、レジストリのデフォルトは1</t>
    <rPh sb="4" eb="7">
      <t>シヨウショ</t>
    </rPh>
    <phoneticPr fontId="1"/>
  </si>
  <si>
    <t>IOTDS_NTP_RULES</t>
    <phoneticPr fontId="1"/>
  </si>
  <si>
    <t>NTP サービス設定ルール</t>
    <rPh sb="8" eb="10">
      <t>セッテイ</t>
    </rPh>
    <phoneticPr fontId="1"/>
  </si>
  <si>
    <t>NTP サーバーカレントURL</t>
    <phoneticPr fontId="1"/>
  </si>
  <si>
    <t>NTP サーバーURL一覧</t>
    <rPh sb="11" eb="13">
      <t>イチラン</t>
    </rPh>
    <phoneticPr fontId="1"/>
  </si>
  <si>
    <t>IOTDS_NTP_URL_ALL</t>
    <phoneticPr fontId="1"/>
  </si>
  <si>
    <t>IOTDS_NTP_URL</t>
    <phoneticPr fontId="1"/>
  </si>
  <si>
    <t>現在のURL</t>
    <rPh sb="0" eb="2">
      <t>ゲンザイ</t>
    </rPh>
    <phoneticPr fontId="1"/>
  </si>
  <si>
    <t>コンボボックスに表示する一覧</t>
    <rPh sb="8" eb="10">
      <t>ヒョウジ</t>
    </rPh>
    <rPh sb="12" eb="14">
      <t>イチラン</t>
    </rPh>
    <phoneticPr fontId="1"/>
  </si>
  <si>
    <t>IOTDS_NTP_SERVER_ENABLE</t>
    <phoneticPr fontId="1"/>
  </si>
  <si>
    <t>NTP サーバー機能有効設定 (0: 無効, 1: 有効)</t>
    <rPh sb="8" eb="10">
      <t>キノウ</t>
    </rPh>
    <rPh sb="10" eb="12">
      <t>ユウコウ</t>
    </rPh>
    <rPh sb="12" eb="14">
      <t>セッテイ</t>
    </rPh>
    <phoneticPr fontId="1"/>
  </si>
  <si>
    <t>NTP クライアント時刻同期有効設定 (0: 無効, 1: 有効)</t>
    <rPh sb="10" eb="12">
      <t>ジコク</t>
    </rPh>
    <rPh sb="12" eb="14">
      <t>ドウキ</t>
    </rPh>
    <rPh sb="14" eb="16">
      <t>ユウコウ</t>
    </rPh>
    <rPh sb="16" eb="18">
      <t>セッテイ</t>
    </rPh>
    <phoneticPr fontId="1"/>
  </si>
  <si>
    <t>IOTDS_NTP_CLIENT_ENABLE</t>
    <phoneticPr fontId="1"/>
  </si>
  <si>
    <t>NTP 接続タイムアウト ([ms])</t>
    <rPh sb="4" eb="6">
      <t>セツゾク</t>
    </rPh>
    <phoneticPr fontId="1"/>
  </si>
  <si>
    <t>IOTDS_NTP_TIMEOUT</t>
    <phoneticPr fontId="1"/>
  </si>
  <si>
    <t>NTP 設定タイムアウト ([ms])</t>
    <rPh sb="4" eb="6">
      <t>セッテイ</t>
    </rPh>
    <phoneticPr fontId="1"/>
  </si>
  <si>
    <t>IOTDS_NTP_SET_TIMEOUT</t>
    <phoneticPr fontId="1"/>
  </si>
  <si>
    <t>0x0000000E
0x0000000F</t>
    <phoneticPr fontId="1"/>
  </si>
  <si>
    <t>0x00000010</t>
    <phoneticPr fontId="1"/>
  </si>
  <si>
    <t>NTP対応 追加</t>
    <rPh sb="3" eb="5">
      <t>タイオウ</t>
    </rPh>
    <rPh sb="6" eb="8">
      <t>ツイカ</t>
    </rPh>
    <phoneticPr fontId="1"/>
  </si>
  <si>
    <t>NTP対応 設定タイムアウト追加</t>
    <rPh sb="3" eb="5">
      <t>タイオウ</t>
    </rPh>
    <rPh sb="6" eb="8">
      <t>セッテイ</t>
    </rPh>
    <rPh sb="14" eb="16">
      <t>ツイカ</t>
    </rPh>
    <phoneticPr fontId="1"/>
  </si>
  <si>
    <t>SIP_OPT_ROUTINGTABLE</t>
    <phoneticPr fontId="1"/>
  </si>
  <si>
    <t>SIP_OPT_EXTEND_SERVER_CNCT</t>
    <phoneticPr fontId="1"/>
  </si>
  <si>
    <t>SIP_OPT_ALWAYS_LIMITDATA</t>
    <phoneticPr fontId="1"/>
  </si>
  <si>
    <t>SIP_OPT_FORCE_NAMESERVER</t>
    <phoneticPr fontId="1"/>
  </si>
  <si>
    <t>SIP_OPT_END_CNCT_ATT_VALUE</t>
    <phoneticPr fontId="1"/>
  </si>
  <si>
    <t>SIP_OPT_END_CNCT_ATT_ENABLED</t>
    <phoneticPr fontId="1"/>
  </si>
  <si>
    <t>0x00000011</t>
    <phoneticPr fontId="1"/>
  </si>
  <si>
    <t>NTP対応 オプション設定、プロキシ設定対応</t>
    <rPh sb="3" eb="5">
      <t>タイオウ</t>
    </rPh>
    <rPh sb="11" eb="13">
      <t>セッテイ</t>
    </rPh>
    <rPh sb="18" eb="20">
      <t>セッテイ</t>
    </rPh>
    <rPh sb="20" eb="22">
      <t>タイオウ</t>
    </rPh>
    <phoneticPr fontId="1"/>
  </si>
  <si>
    <t>SerialIP プロキシ有効 (0: 無効, 1: 有効)</t>
    <rPh sb="13" eb="15">
      <t>ユウコウ</t>
    </rPh>
    <phoneticPr fontId="1"/>
  </si>
  <si>
    <t>SIP_PROXY_ENABLE</t>
    <phoneticPr fontId="1"/>
  </si>
  <si>
    <t>SIP_OPT_FORCE_NAMESERVER_ENABLED</t>
    <phoneticPr fontId="1"/>
  </si>
  <si>
    <t>システムメニュー特殊キー有効フラグ(0:無効|1:有効)</t>
    <rPh sb="8" eb="10">
      <t>トクシュ</t>
    </rPh>
    <rPh sb="12" eb="14">
      <t>ユウコウ</t>
    </rPh>
    <phoneticPr fontId="1"/>
  </si>
  <si>
    <t>IOTDS_SYSMENU_EXKEY_ENABLED</t>
    <phoneticPr fontId="1"/>
  </si>
  <si>
    <t>/force</t>
    <phoneticPr fontId="1"/>
  </si>
  <si>
    <t>IOTDS_NTP_RESYNC_CMD_PARAM</t>
    <phoneticPr fontId="1"/>
  </si>
  <si>
    <t>空 or /force</t>
    <rPh sb="0" eb="1">
      <t>カラ</t>
    </rPh>
    <phoneticPr fontId="1"/>
  </si>
  <si>
    <t>NTP 設定再同期コマンドパラメータ ([ms])</t>
    <rPh sb="4" eb="6">
      <t>セッテイ</t>
    </rPh>
    <rPh sb="6" eb="7">
      <t>サイ</t>
    </rPh>
    <rPh sb="7" eb="9">
      <t>ドウキ</t>
    </rPh>
    <phoneticPr fontId="1"/>
  </si>
  <si>
    <t>0x00000012</t>
    <phoneticPr fontId="1"/>
  </si>
  <si>
    <t>パスワードを暗号化し設定</t>
    <rPh sb="6" eb="9">
      <t>アンゴウカ</t>
    </rPh>
    <rPh sb="10" eb="12">
      <t>セッテイ</t>
    </rPh>
    <phoneticPr fontId="1"/>
  </si>
  <si>
    <t>y7XmPqHJ0j/+vlPtZ6Ja48OkSFs00zOxmcxXQcr8erCW81EuHaKhVG+55gqqinWUDnQpolngmkUQibWth8nJDCaA99pUInHHZpviqr2E7c7NMA6+9ElofGsrcka7o90R</t>
    <phoneticPr fontId="1"/>
  </si>
  <si>
    <t>FTPUser</t>
    <phoneticPr fontId="1"/>
  </si>
  <si>
    <t>IOTDS_SHARED_USER_INIT_PASSWD</t>
    <phoneticPr fontId="1"/>
  </si>
  <si>
    <t>IOTDS_FTP_USER_INIT_PASSWD</t>
    <phoneticPr fontId="1"/>
  </si>
  <si>
    <t>VNCパスワード文字数下限</t>
    <rPh sb="8" eb="11">
      <t>モジスウ</t>
    </rPh>
    <rPh sb="11" eb="13">
      <t>カゲン</t>
    </rPh>
    <phoneticPr fontId="1"/>
  </si>
  <si>
    <t>IOTDS_VNC_INIT_PASSWD</t>
    <phoneticPr fontId="1"/>
  </si>
  <si>
    <t>IOTDS_VNC_PASSWD_LEN_MAX</t>
    <phoneticPr fontId="1"/>
  </si>
  <si>
    <t>WINDOWSパスワード文字数下限</t>
    <rPh sb="12" eb="15">
      <t>モジスウ</t>
    </rPh>
    <rPh sb="15" eb="17">
      <t>カゲン</t>
    </rPh>
    <phoneticPr fontId="1"/>
  </si>
  <si>
    <t>VNCパスワード文字</t>
    <phoneticPr fontId="1"/>
  </si>
  <si>
    <t>0123456789abcdefghijklmnopqrstuvwxyzABCDEFGHIJKLMNOPQRSTUVWXYZ@</t>
    <phoneticPr fontId="1"/>
  </si>
  <si>
    <t>WINDOWSパスワード文字</t>
    <phoneticPr fontId="1"/>
  </si>
  <si>
    <t>IOTDS_WINDOWS_PASSWD_LEN_MAX</t>
    <phoneticPr fontId="1"/>
  </si>
  <si>
    <t>IOTDS_WINDOWS_PASSWD_CHAR</t>
    <phoneticPr fontId="1"/>
  </si>
  <si>
    <t>0x00000013</t>
    <phoneticPr fontId="1"/>
  </si>
  <si>
    <t>VNCパスワード文字数上限</t>
    <rPh sb="8" eb="11">
      <t>モジスウ</t>
    </rPh>
    <rPh sb="11" eb="13">
      <t>ジョウゲン</t>
    </rPh>
    <phoneticPr fontId="1"/>
  </si>
  <si>
    <t>WINDOWSパスワード文字数上限</t>
    <rPh sb="12" eb="15">
      <t>モジスウ</t>
    </rPh>
    <rPh sb="15" eb="17">
      <t>ジョウゲン</t>
    </rPh>
    <phoneticPr fontId="1"/>
  </si>
  <si>
    <t>NVot1zP4vFtob1kM573/7EOD2AL9yKvu7XWoeHPLBuKh8qi/tpmzFUW1T+GOFaAGY7WuCUBWSUJJKyqnG+zPcsSL+H8cDJZCXu++oqXn6ImAy4bxx9XpiCM4x/rX/4i2</t>
    <phoneticPr fontId="1"/>
  </si>
  <si>
    <t>ユーザー初期パスワード</t>
    <rPh sb="4" eb="6">
      <t>ショキ</t>
    </rPh>
    <phoneticPr fontId="1"/>
  </si>
  <si>
    <t>0x00000014</t>
    <phoneticPr fontId="1"/>
  </si>
  <si>
    <t>IOTDS_USER_INIT_PASSWD</t>
    <phoneticPr fontId="1"/>
  </si>
  <si>
    <t>IOTDS_WINDOWS_PASSWD_LEN_MIN</t>
    <phoneticPr fontId="1"/>
  </si>
  <si>
    <t>IOTDS_FTP_USER_INFO</t>
    <phoneticPr fontId="1"/>
  </si>
  <si>
    <t>IOTDS_SHARED_USER_INFO</t>
    <phoneticPr fontId="1"/>
  </si>
  <si>
    <t>IOTDS_VNC_INFO</t>
    <phoneticPr fontId="1"/>
  </si>
  <si>
    <t>パスワード変更ユーザ追加
IOTDS_SHARED_USER_INFO*,IOTDS_VNC_INFO*</t>
    <rPh sb="5" eb="7">
      <t>ヘンコウ</t>
    </rPh>
    <rPh sb="10" eb="12">
      <t>ツイカ</t>
    </rPh>
    <phoneticPr fontId="1"/>
  </si>
  <si>
    <t>IOTDS_VNC_PASSWD_LEN_MIN</t>
    <phoneticPr fontId="1"/>
  </si>
  <si>
    <t>パスワードチェック項目追加
IOTDS_VNC_PASSWD*,IOTDS_WINDOWS_PASSWD*</t>
    <rPh sb="9" eb="11">
      <t>コウモク</t>
    </rPh>
    <rPh sb="11" eb="13">
      <t>ツイカ</t>
    </rPh>
    <phoneticPr fontId="1"/>
  </si>
  <si>
    <r>
      <t xml:space="preserve">変更時はアップすること </t>
    </r>
    <r>
      <rPr>
        <b/>
        <sz val="11"/>
        <color theme="1"/>
        <rFont val="ＭＳ Ｐゴシック"/>
        <family val="3"/>
        <charset val="128"/>
        <scheme val="minor"/>
      </rPr>
      <t>*システム固定にしない事</t>
    </r>
    <rPh sb="0" eb="2">
      <t>ヘンコウ</t>
    </rPh>
    <rPh sb="2" eb="3">
      <t>ジ</t>
    </rPh>
    <rPh sb="17" eb="19">
      <t>コテイ</t>
    </rPh>
    <rPh sb="23" eb="24">
      <t>コト</t>
    </rPh>
    <phoneticPr fontId="1"/>
  </si>
  <si>
    <t>SIP_PORT_NO_MAX</t>
    <phoneticPr fontId="1"/>
  </si>
  <si>
    <t>コンピュータ名変更時設定追加
IOTDS_USER_INIT_PASSWD,IOTDS_MCAFEE_FILEPATH
SerialIP Port 最大数変更
SIP_PORT_NO_MAX　50→16</t>
    <rPh sb="6" eb="7">
      <t>メイ</t>
    </rPh>
    <rPh sb="7" eb="9">
      <t>ヘンコウ</t>
    </rPh>
    <rPh sb="9" eb="10">
      <t>ジ</t>
    </rPh>
    <rPh sb="10" eb="12">
      <t>セッテイ</t>
    </rPh>
    <rPh sb="12" eb="14">
      <t>ツイカ</t>
    </rPh>
    <rPh sb="74" eb="76">
      <t>サイダイ</t>
    </rPh>
    <rPh sb="76" eb="77">
      <t>スウ</t>
    </rPh>
    <rPh sb="77" eb="79">
      <t>ヘンコウ</t>
    </rPh>
    <phoneticPr fontId="1"/>
  </si>
  <si>
    <t>150までの値</t>
    <rPh sb="6" eb="7">
      <t>アタイ</t>
    </rPh>
    <phoneticPr fontId="1"/>
  </si>
  <si>
    <t>同上</t>
    <rPh sb="0" eb="2">
      <t>ドウジョウ</t>
    </rPh>
    <phoneticPr fontId="1"/>
  </si>
  <si>
    <t>ファイル書き出しをIoTDSData.xml/IoTDSDataSys.xml/両方に書くよう修正</t>
    <rPh sb="4" eb="5">
      <t>カ</t>
    </rPh>
    <rPh sb="6" eb="7">
      <t>ダ</t>
    </rPh>
    <rPh sb="40" eb="42">
      <t>リョウホウ</t>
    </rPh>
    <rPh sb="43" eb="44">
      <t>カ</t>
    </rPh>
    <rPh sb="47" eb="49">
      <t>シュウセイ</t>
    </rPh>
    <phoneticPr fontId="1"/>
  </si>
  <si>
    <t>システム固定
有効/無効/両方</t>
    <rPh sb="4" eb="6">
      <t>コテイ</t>
    </rPh>
    <rPh sb="7" eb="9">
      <t>ユウコウ</t>
    </rPh>
    <rPh sb="10" eb="12">
      <t>ムコウ</t>
    </rPh>
    <rPh sb="13" eb="15">
      <t>リョウホウ</t>
    </rPh>
    <phoneticPr fontId="1"/>
  </si>
  <si>
    <t>0x00000015</t>
    <phoneticPr fontId="1"/>
  </si>
  <si>
    <t>VNCリモート接続監視、プロジェクト状態（CaoSQLサービス）監視追加</t>
    <rPh sb="7" eb="9">
      <t>セツゾク</t>
    </rPh>
    <rPh sb="9" eb="11">
      <t>カンシ</t>
    </rPh>
    <rPh sb="18" eb="20">
      <t>ジョウタイ</t>
    </rPh>
    <rPh sb="32" eb="34">
      <t>カンシ</t>
    </rPh>
    <rPh sb="34" eb="36">
      <t>ツイカ</t>
    </rPh>
    <phoneticPr fontId="1"/>
  </si>
  <si>
    <t>IOTDS_VNC_PASSWD_CHAR</t>
    <phoneticPr fontId="1"/>
  </si>
  <si>
    <t>IDSC_MEM_WATCH_INTERVAL</t>
    <phoneticPr fontId="1"/>
  </si>
  <si>
    <t>拡張子が「*.exe」はプロセス、拡張子なしはサービス</t>
    <rPh sb="0" eb="3">
      <t>カクチョウシ</t>
    </rPh>
    <rPh sb="17" eb="20">
      <t>カクチョウシ</t>
    </rPh>
    <phoneticPr fontId="1"/>
  </si>
  <si>
    <t>サービス／プロセス稼働監視</t>
    <rPh sb="9" eb="11">
      <t>カドウ</t>
    </rPh>
    <rPh sb="11" eb="13">
      <t>カンシ</t>
    </rPh>
    <phoneticPr fontId="1"/>
  </si>
  <si>
    <t>IOTDS_VNC_ESTAB_WATCH_INTERVAL</t>
    <phoneticPr fontId="1"/>
  </si>
  <si>
    <t>VNCリモート接続確立監視間隔</t>
    <rPh sb="7" eb="9">
      <t>セツゾク</t>
    </rPh>
    <rPh sb="9" eb="11">
      <t>カクリツ</t>
    </rPh>
    <rPh sb="11" eb="13">
      <t>カンシ</t>
    </rPh>
    <rPh sb="13" eb="15">
      <t>カンカク</t>
    </rPh>
    <phoneticPr fontId="1"/>
  </si>
  <si>
    <t>イーサーネットアダプター名</t>
    <rPh sb="12" eb="13">
      <t>メイ</t>
    </rPh>
    <phoneticPr fontId="1"/>
  </si>
  <si>
    <t>COM_ETHER_NAME</t>
    <phoneticPr fontId="1"/>
  </si>
  <si>
    <t>Ethernet</t>
    <phoneticPr fontId="1"/>
  </si>
  <si>
    <t>イーサネット</t>
    <phoneticPr fontId="1"/>
  </si>
  <si>
    <t>イーサーネットアダプター名変更対象</t>
    <rPh sb="12" eb="13">
      <t>メイ</t>
    </rPh>
    <rPh sb="13" eb="15">
      <t>ヘンコウ</t>
    </rPh>
    <rPh sb="15" eb="17">
      <t>タイショウ</t>
    </rPh>
    <phoneticPr fontId="1"/>
  </si>
  <si>
    <t>COM_ETHER_RENAME_TARGET</t>
    <phoneticPr fontId="1"/>
  </si>
  <si>
    <t>COM_ETHER_NAME_OTHER_VIEW</t>
    <phoneticPr fontId="1"/>
  </si>
  <si>
    <t>イーサーネットアダプター名以外の表示(0: 非表示, 1: 表示)</t>
    <rPh sb="12" eb="13">
      <t>メイ</t>
    </rPh>
    <rPh sb="13" eb="15">
      <t>イガイ</t>
    </rPh>
    <rPh sb="16" eb="18">
      <t>ヒョウジ</t>
    </rPh>
    <rPh sb="22" eb="25">
      <t>ヒヒョウジ</t>
    </rPh>
    <rPh sb="30" eb="32">
      <t>ヒョウジ</t>
    </rPh>
    <phoneticPr fontId="1"/>
  </si>
  <si>
    <t>IOTDS_PROC_SRVC_WATCH</t>
    <phoneticPr fontId="1"/>
  </si>
  <si>
    <t>IOTDS_PROC_SRVC_WATCH_INTERVAL</t>
    <phoneticPr fontId="1"/>
  </si>
  <si>
    <t>テーブル番号</t>
    <rPh sb="4" eb="6">
      <t>バンゴウ</t>
    </rPh>
    <phoneticPr fontId="1"/>
  </si>
  <si>
    <t>テーブル名</t>
    <rPh sb="4" eb="5">
      <t>メイ</t>
    </rPh>
    <phoneticPr fontId="1"/>
  </si>
  <si>
    <t>0x00000016</t>
    <phoneticPr fontId="1"/>
  </si>
  <si>
    <t>プロジェクト状態（CaoSQLサービス=ORiN）監視に変更</t>
    <rPh sb="6" eb="8">
      <t>ジョウタイ</t>
    </rPh>
    <rPh sb="25" eb="27">
      <t>カンシ</t>
    </rPh>
    <rPh sb="28" eb="30">
      <t>ヘンコウ</t>
    </rPh>
    <phoneticPr fontId="1"/>
  </si>
  <si>
    <t>UPS_MAKER_LIST</t>
    <phoneticPr fontId="1"/>
  </si>
  <si>
    <t>上記の選択した値を設定</t>
    <rPh sb="0" eb="2">
      <t>ジョウキ</t>
    </rPh>
    <rPh sb="3" eb="5">
      <t>センタク</t>
    </rPh>
    <rPh sb="7" eb="8">
      <t>アタイ</t>
    </rPh>
    <rPh sb="9" eb="11">
      <t>セッテイ</t>
    </rPh>
    <phoneticPr fontId="1"/>
  </si>
  <si>
    <t>APCのUPS場合　上記の選択した値を設定（APC以外は無視）</t>
    <rPh sb="7" eb="9">
      <t>バアイ</t>
    </rPh>
    <rPh sb="10" eb="12">
      <t>ジョウキ</t>
    </rPh>
    <rPh sb="13" eb="15">
      <t>センタク</t>
    </rPh>
    <rPh sb="17" eb="18">
      <t>アタイ</t>
    </rPh>
    <rPh sb="19" eb="21">
      <t>セッテイ</t>
    </rPh>
    <rPh sb="25" eb="27">
      <t>イガイ</t>
    </rPh>
    <rPh sb="28" eb="30">
      <t>ムシ</t>
    </rPh>
    <phoneticPr fontId="1"/>
  </si>
  <si>
    <t>UPSメーカリストより選択した値を設定</t>
    <rPh sb="11" eb="13">
      <t>センタク</t>
    </rPh>
    <rPh sb="15" eb="16">
      <t>アタイ</t>
    </rPh>
    <rPh sb="17" eb="19">
      <t>セッテイ</t>
    </rPh>
    <phoneticPr fontId="1"/>
  </si>
  <si>
    <t>0x00000017</t>
    <phoneticPr fontId="1"/>
  </si>
  <si>
    <t>UPS接続種別リスト</t>
    <rPh sb="3" eb="5">
      <t>セツゾク</t>
    </rPh>
    <rPh sb="5" eb="7">
      <t>シュベツ</t>
    </rPh>
    <phoneticPr fontId="1"/>
  </si>
  <si>
    <t>UPS接続種別選択</t>
    <rPh sb="3" eb="5">
      <t>セツゾク</t>
    </rPh>
    <rPh sb="5" eb="7">
      <t>シュベツ</t>
    </rPh>
    <phoneticPr fontId="1"/>
  </si>
  <si>
    <t>UPSメーカ選択</t>
    <phoneticPr fontId="1"/>
  </si>
  <si>
    <t>UPS_MAKER_SEL</t>
    <phoneticPr fontId="1"/>
  </si>
  <si>
    <t>UPS_CONNECT_SEL</t>
    <phoneticPr fontId="1"/>
  </si>
  <si>
    <t>UPS_APC_TYPE_SEL</t>
    <phoneticPr fontId="1"/>
  </si>
  <si>
    <t>接続方法　「,」区切り複数設定、空文字可</t>
    <rPh sb="0" eb="2">
      <t>セツゾク</t>
    </rPh>
    <rPh sb="2" eb="4">
      <t>ホウホウ</t>
    </rPh>
    <rPh sb="8" eb="10">
      <t>クギ</t>
    </rPh>
    <rPh sb="11" eb="13">
      <t>フクスウ</t>
    </rPh>
    <rPh sb="13" eb="15">
      <t>セッテイ</t>
    </rPh>
    <rPh sb="16" eb="17">
      <t>カラ</t>
    </rPh>
    <rPh sb="17" eb="19">
      <t>モジ</t>
    </rPh>
    <phoneticPr fontId="1"/>
  </si>
  <si>
    <t>APCのUPS場合　「,」区切り複数設定、空文字可</t>
    <rPh sb="7" eb="9">
      <t>バアイ</t>
    </rPh>
    <rPh sb="13" eb="15">
      <t>クギ</t>
    </rPh>
    <rPh sb="16" eb="18">
      <t>フクスウ</t>
    </rPh>
    <rPh sb="18" eb="20">
      <t>セッテイ</t>
    </rPh>
    <rPh sb="21" eb="22">
      <t>カラ</t>
    </rPh>
    <rPh sb="22" eb="24">
      <t>モジ</t>
    </rPh>
    <phoneticPr fontId="1"/>
  </si>
  <si>
    <t>リンク</t>
    <phoneticPr fontId="1"/>
  </si>
  <si>
    <t>UPS_WAIT_OS_SHUTDOWN</t>
    <phoneticPr fontId="1"/>
  </si>
  <si>
    <t>停電検出時、WindowsOSシャットダウン待ち時間</t>
    <rPh sb="0" eb="2">
      <t>テイデン</t>
    </rPh>
    <rPh sb="2" eb="4">
      <t>ケンシュツ</t>
    </rPh>
    <rPh sb="4" eb="5">
      <t>ジ</t>
    </rPh>
    <rPh sb="24" eb="26">
      <t>ジカン</t>
    </rPh>
    <phoneticPr fontId="1"/>
  </si>
  <si>
    <t>WindowsOSシャットダウン後、UPS電源OFF待ち時間</t>
    <rPh sb="16" eb="17">
      <t>ゴ</t>
    </rPh>
    <rPh sb="21" eb="23">
      <t>デンゲン</t>
    </rPh>
    <rPh sb="26" eb="27">
      <t>マ</t>
    </rPh>
    <rPh sb="28" eb="30">
      <t>ジカン</t>
    </rPh>
    <phoneticPr fontId="1"/>
  </si>
  <si>
    <t>0x07D0=2000(Year), 01=01(Month), 01=01(Day)</t>
    <phoneticPr fontId="1"/>
  </si>
  <si>
    <t>UPS_WAIT_UPS_POWEROFF</t>
    <phoneticPr fontId="1"/>
  </si>
  <si>
    <t>APC,Beckhoff,OMRON</t>
    <phoneticPr fontId="1"/>
  </si>
  <si>
    <t>Beckhoff</t>
  </si>
  <si>
    <t>COMx,USB</t>
    <phoneticPr fontId="1"/>
  </si>
  <si>
    <t>COM4</t>
    <phoneticPr fontId="1"/>
  </si>
  <si>
    <t>UPS_CONNECT_LIST</t>
    <phoneticPr fontId="1"/>
  </si>
  <si>
    <t>USB</t>
    <phoneticPr fontId="1"/>
  </si>
  <si>
    <t>CIFX_USE_DEVICE</t>
    <phoneticPr fontId="1"/>
  </si>
  <si>
    <t>0x0000007F</t>
    <phoneticPr fontId="1"/>
  </si>
  <si>
    <t>0xffffffff</t>
    <phoneticPr fontId="1"/>
  </si>
  <si>
    <t>UPS種別リスト（UPSメーカーAPC)</t>
    <rPh sb="3" eb="5">
      <t>シュベツ</t>
    </rPh>
    <phoneticPr fontId="1"/>
  </si>
  <si>
    <t>UPS種別選択（UPSメーカーAPC)</t>
    <rPh sb="3" eb="5">
      <t>シュベツ</t>
    </rPh>
    <rPh sb="5" eb="7">
      <t>センタク</t>
    </rPh>
    <phoneticPr fontId="1"/>
  </si>
  <si>
    <t>UPS設定ファイルパス（UPSメーカーAPC)</t>
    <rPh sb="3" eb="5">
      <t>セッテイ</t>
    </rPh>
    <phoneticPr fontId="1"/>
  </si>
  <si>
    <t>UPS_APC_CONF_FILEPATH</t>
    <phoneticPr fontId="1"/>
  </si>
  <si>
    <t>C:\apcupsd\etc\apcupsd\apcupsd.conf</t>
    <phoneticPr fontId="1"/>
  </si>
  <si>
    <t>APCのUPS場合　設定ファイルのパス</t>
    <rPh sb="7" eb="9">
      <t>バアイ</t>
    </rPh>
    <rPh sb="10" eb="12">
      <t>セッテイ</t>
    </rPh>
    <phoneticPr fontId="1"/>
  </si>
  <si>
    <t>UPS監視OSシャットダウン待ち時間[s]</t>
    <rPh sb="3" eb="5">
      <t>カンシ</t>
    </rPh>
    <rPh sb="14" eb="15">
      <t>マ</t>
    </rPh>
    <rPh sb="16" eb="18">
      <t>ジカン</t>
    </rPh>
    <phoneticPr fontId="1"/>
  </si>
  <si>
    <t>UPS監視UPS電源待ち時間[s]</t>
    <rPh sb="3" eb="5">
      <t>カンシ</t>
    </rPh>
    <rPh sb="8" eb="10">
      <t>デンゲン</t>
    </rPh>
    <rPh sb="10" eb="11">
      <t>マ</t>
    </rPh>
    <rPh sb="12" eb="14">
      <t>ジカン</t>
    </rPh>
    <phoneticPr fontId="1"/>
  </si>
  <si>
    <t>UPS設定詳細追加
使用許諾日追加
Hilscher使用可能基板分け</t>
    <rPh sb="3" eb="5">
      <t>セッテイ</t>
    </rPh>
    <rPh sb="5" eb="7">
      <t>ショウサイ</t>
    </rPh>
    <rPh sb="7" eb="9">
      <t>ツイカ</t>
    </rPh>
    <rPh sb="10" eb="12">
      <t>シヨウ</t>
    </rPh>
    <rPh sb="12" eb="14">
      <t>キョダク</t>
    </rPh>
    <rPh sb="14" eb="15">
      <t>ビ</t>
    </rPh>
    <rPh sb="15" eb="17">
      <t>ツイカ</t>
    </rPh>
    <rPh sb="26" eb="28">
      <t>シヨウ</t>
    </rPh>
    <rPh sb="28" eb="30">
      <t>カノウ</t>
    </rPh>
    <rPh sb="30" eb="32">
      <t>キバン</t>
    </rPh>
    <rPh sb="32" eb="33">
      <t>ワ</t>
    </rPh>
    <phoneticPr fontId="1"/>
  </si>
  <si>
    <t>3,1,3</t>
    <phoneticPr fontId="1"/>
  </si>
  <si>
    <t>UPSメーカー　「,」区切り複数設定</t>
    <rPh sb="11" eb="13">
      <t>クギ</t>
    </rPh>
    <rPh sb="14" eb="16">
      <t>フクスウ</t>
    </rPh>
    <rPh sb="16" eb="18">
      <t>セッテイ</t>
    </rPh>
    <phoneticPr fontId="1"/>
  </si>
  <si>
    <t>UPSメーカリスト</t>
    <phoneticPr fontId="1"/>
  </si>
  <si>
    <t>UPSメーカ毎デバイス種別(UPSメーカリスト)</t>
    <rPh sb="6" eb="7">
      <t>マイ</t>
    </rPh>
    <rPh sb="11" eb="13">
      <t>シュベツ</t>
    </rPh>
    <phoneticPr fontId="1"/>
  </si>
  <si>
    <t>UPSメーカリストに対応　UPSデバイス種別　1:COM,2:USB,3 COM&amp;USB</t>
    <rPh sb="10" eb="12">
      <t>タイオウ</t>
    </rPh>
    <rPh sb="20" eb="22">
      <t>シュベツ</t>
    </rPh>
    <phoneticPr fontId="1"/>
  </si>
  <si>
    <t>使用するCIFXデバイス種別設定（FFFFFFFFの場合ベンダー別をコピーする）</t>
    <rPh sb="0" eb="2">
      <t>シヨウ</t>
    </rPh>
    <rPh sb="12" eb="14">
      <t>シュベツ</t>
    </rPh>
    <rPh sb="14" eb="16">
      <t>セッテイ</t>
    </rPh>
    <rPh sb="26" eb="28">
      <t>バアイ</t>
    </rPh>
    <rPh sb="32" eb="33">
      <t>ベツ</t>
    </rPh>
    <phoneticPr fontId="1"/>
  </si>
  <si>
    <t>使用するCIFXデバイス種別（ベンダー別）</t>
    <rPh sb="0" eb="2">
      <t>シヨウ</t>
    </rPh>
    <rPh sb="12" eb="14">
      <t>シュベツ</t>
    </rPh>
    <rPh sb="19" eb="20">
      <t>ベツ</t>
    </rPh>
    <phoneticPr fontId="1"/>
  </si>
  <si>
    <t>使用するCIFXデバイス種別</t>
    <rPh sb="0" eb="2">
      <t>シヨウ</t>
    </rPh>
    <rPh sb="12" eb="14">
      <t>シュベツ</t>
    </rPh>
    <phoneticPr fontId="1"/>
  </si>
  <si>
    <t>UPS_MAKER_USE_CONNECT_LIST</t>
    <phoneticPr fontId="1"/>
  </si>
  <si>
    <t>UPS接続種別リスト（IPCベンダー別）</t>
    <rPh sb="3" eb="5">
      <t>セツゾク</t>
    </rPh>
    <rPh sb="5" eb="7">
      <t>シュベツ</t>
    </rPh>
    <phoneticPr fontId="1"/>
  </si>
  <si>
    <t>UPS接続種別リスト（IPCベンダー別）</t>
    <rPh sb="3" eb="5">
      <t>セツゾク</t>
    </rPh>
    <rPh sb="5" eb="7">
      <t>シュベツ</t>
    </rPh>
    <rPh sb="18" eb="19">
      <t>ベツ</t>
    </rPh>
    <phoneticPr fontId="1"/>
  </si>
  <si>
    <t>使用するCIFXデバイス種別（IPCベンダー別）</t>
    <rPh sb="0" eb="2">
      <t>シヨウ</t>
    </rPh>
    <rPh sb="12" eb="14">
      <t>シュベツ</t>
    </rPh>
    <rPh sb="22" eb="23">
      <t>ベツ</t>
    </rPh>
    <phoneticPr fontId="1"/>
  </si>
  <si>
    <t>UPS_APC_TYPE_LIST_J</t>
    <phoneticPr fontId="1"/>
  </si>
  <si>
    <t>UPS_APC_TYPE_LIST_E</t>
    <phoneticPr fontId="1"/>
  </si>
  <si>
    <t>Smart-UPS(要modbus設定),Smart-UPS以外</t>
    <rPh sb="10" eb="11">
      <t>ヨウ</t>
    </rPh>
    <rPh sb="17" eb="19">
      <t>セッテイ</t>
    </rPh>
    <rPh sb="30" eb="32">
      <t>イガイ</t>
    </rPh>
    <phoneticPr fontId="1"/>
  </si>
  <si>
    <t>Smart-UPS(modbus mode),others</t>
    <phoneticPr fontId="1"/>
  </si>
  <si>
    <t>0x00000018</t>
    <phoneticPr fontId="1"/>
  </si>
  <si>
    <t>Smart-UPS設定を切り分け</t>
    <rPh sb="9" eb="11">
      <t>セッテイ</t>
    </rPh>
    <rPh sb="12" eb="13">
      <t>キ</t>
    </rPh>
    <rPh sb="14" eb="15">
      <t>ワ</t>
    </rPh>
    <phoneticPr fontId="1"/>
  </si>
  <si>
    <t>Launcher</t>
    <phoneticPr fontId="1"/>
  </si>
  <si>
    <t>LAUNCH_DATE_VISIBLE</t>
    <phoneticPr fontId="1"/>
  </si>
  <si>
    <t>トップ画面日付表示</t>
    <rPh sb="3" eb="4">
      <t>ガ</t>
    </rPh>
    <rPh sb="4" eb="5">
      <t>メン</t>
    </rPh>
    <rPh sb="5" eb="7">
      <t>ヒヅケ</t>
    </rPh>
    <rPh sb="7" eb="9">
      <t>ヒョウジ</t>
    </rPh>
    <phoneticPr fontId="1"/>
  </si>
  <si>
    <t>0x00000019</t>
    <phoneticPr fontId="1"/>
  </si>
  <si>
    <t>ORiN,IoTDSAdmin.exe</t>
    <phoneticPr fontId="1"/>
  </si>
  <si>
    <t>0x08020C1F</t>
    <phoneticPr fontId="1"/>
  </si>
  <si>
    <t>0x0833=2050(Year), 0C=12(Month), 1F=31(Day)</t>
    <phoneticPr fontId="1"/>
  </si>
  <si>
    <t>Launcher用シート作成
年入力範囲を2000/01/01～2050/12/31</t>
    <rPh sb="8" eb="9">
      <t>ヨウ</t>
    </rPh>
    <rPh sb="12" eb="14">
      <t>サクセイ</t>
    </rPh>
    <rPh sb="15" eb="16">
      <t>ネン</t>
    </rPh>
    <rPh sb="16" eb="18">
      <t>ニュウリョク</t>
    </rPh>
    <rPh sb="18" eb="20">
      <t>ハンイ</t>
    </rPh>
    <phoneticPr fontId="1"/>
  </si>
  <si>
    <t>DEBUG,INFO,WARN,ERROR,FATAL</t>
    <phoneticPr fontId="1"/>
  </si>
  <si>
    <t>×</t>
    <phoneticPr fontId="1"/>
  </si>
  <si>
    <t>出力元リスト</t>
    <rPh sb="0" eb="2">
      <t>シュツリョク</t>
    </rPh>
    <rPh sb="2" eb="3">
      <t>モト</t>
    </rPh>
    <phoneticPr fontId="1"/>
  </si>
  <si>
    <t>LAUNCH_LOG_SRC_LIST</t>
    <phoneticPr fontId="1"/>
  </si>
  <si>
    <t>LAUNCH_LOG_SRC_LIST_TARGET</t>
    <phoneticPr fontId="1"/>
  </si>
  <si>
    <t>LAUNCH_LOG_LEVEL_LIST</t>
    <phoneticPr fontId="1"/>
  </si>
  <si>
    <t>LAUNCH_LOG_SRC_SELECT</t>
    <phoneticPr fontId="1"/>
  </si>
  <si>
    <t>LAUNCH_LOG_LEVEL_SELECT</t>
    <phoneticPr fontId="1"/>
  </si>
  <si>
    <t>IoTDSログ出力元フィルタ対応ログ対象</t>
    <rPh sb="7" eb="9">
      <t>シュツリョク</t>
    </rPh>
    <rPh sb="9" eb="10">
      <t>モト</t>
    </rPh>
    <rPh sb="14" eb="16">
      <t>タイオウ</t>
    </rPh>
    <rPh sb="18" eb="20">
      <t>タイショウ</t>
    </rPh>
    <phoneticPr fontId="1"/>
  </si>
  <si>
    <t>IoTDSログ出力元フィルタ選択フラグ</t>
    <rPh sb="7" eb="9">
      <t>シュツリョク</t>
    </rPh>
    <rPh sb="9" eb="10">
      <t>モト</t>
    </rPh>
    <rPh sb="14" eb="16">
      <t>センタク</t>
    </rPh>
    <phoneticPr fontId="1"/>
  </si>
  <si>
    <t>IoTDSログレベル選択フラグ</t>
    <rPh sb="10" eb="12">
      <t>センタク</t>
    </rPh>
    <phoneticPr fontId="1"/>
  </si>
  <si>
    <t>0x0000001F</t>
    <phoneticPr fontId="1"/>
  </si>
  <si>
    <t>0x00000000</t>
    <phoneticPr fontId="1"/>
  </si>
  <si>
    <t>IoTDSログ取得行数</t>
    <rPh sb="7" eb="9">
      <t>シュトク</t>
    </rPh>
    <rPh sb="9" eb="11">
      <t>ギョウスウ</t>
    </rPh>
    <phoneticPr fontId="1"/>
  </si>
  <si>
    <t>0x0000001A</t>
    <phoneticPr fontId="1"/>
  </si>
  <si>
    <t>カスタムログファイルパス</t>
    <phoneticPr fontId="1"/>
  </si>
  <si>
    <t>LAUNCH_LOG_CUSTOM_FILEPATH</t>
    <phoneticPr fontId="1"/>
  </si>
  <si>
    <t>IOTDS_VIEW_EDITOR_INFO</t>
    <phoneticPr fontId="1"/>
  </si>
  <si>
    <t>ViewEditor</t>
    <phoneticPr fontId="1"/>
  </si>
  <si>
    <t>IOTDS_VIEW_EDITOR_INIT_PASSWD</t>
    <phoneticPr fontId="1"/>
  </si>
  <si>
    <t>ViewBrowser</t>
    <phoneticPr fontId="1"/>
  </si>
  <si>
    <t>UQBwiyFOewOcH4ExoIIOxXCihK0rEmxY4kUUkz31i3qs9ewZqkOsy7NJhiFQpFc5n2KzGgebvDY3JzM6WRpEH9qc6zm7o74Bi8Ad43OBDXsAcFckOSZDlGS5EOdGH6ux</t>
    <phoneticPr fontId="1"/>
  </si>
  <si>
    <t>vMHyZfVCaBiZ2pWtf7EPkmUJf9sp/Ep0Mi/G0ccus5Lrqj66/GCaJL+YTlJ7gRyxUSRp6g05E67G8ZFBVyJym7DCF+IwHUHxkonIOy8eGeZWCda63/2HP+xiGF0PUVuB</t>
    <phoneticPr fontId="1"/>
  </si>
  <si>
    <t>Launcher用シートに項目追加
ユーザ追加：ViewEditor、ViewBrowser</t>
    <rPh sb="8" eb="9">
      <t>ヨウ</t>
    </rPh>
    <rPh sb="13" eb="15">
      <t>コウモク</t>
    </rPh>
    <rPh sb="15" eb="17">
      <t>ツイカ</t>
    </rPh>
    <rPh sb="21" eb="23">
      <t>ツイカ</t>
    </rPh>
    <phoneticPr fontId="1"/>
  </si>
  <si>
    <t>IOTDS_VIEW_BLOWSER_INFO</t>
    <phoneticPr fontId="1"/>
  </si>
  <si>
    <t>IOTDS_VIEW_BLOWSER_INIT_PASSWD</t>
    <phoneticPr fontId="1"/>
  </si>
  <si>
    <t>C:\IoTDataServer\Doc\IoTDataServer_UsersGuide_ja.pdf,C:\IoTDataServer\Doc\IoTDataServer_UsersGuide_en.pdf</t>
    <phoneticPr fontId="1"/>
  </si>
  <si>
    <t>IOTDS_LICENSE_AGREE_DAY</t>
    <phoneticPr fontId="1"/>
  </si>
  <si>
    <t>IOTDS_USERS_MANUAL</t>
    <phoneticPr fontId="1"/>
  </si>
  <si>
    <t>0x0000001B</t>
    <phoneticPr fontId="1"/>
  </si>
  <si>
    <t>Systemにマニュアル追加</t>
    <rPh sb="12" eb="14">
      <t>ツイカ</t>
    </rPh>
    <phoneticPr fontId="1"/>
  </si>
  <si>
    <t>ユーザマニュアル</t>
    <phoneticPr fontId="1"/>
  </si>
  <si>
    <t>サービスマニュアル</t>
    <phoneticPr fontId="1"/>
  </si>
  <si>
    <t>「,」区切りで多国語対応</t>
    <phoneticPr fontId="1"/>
  </si>
  <si>
    <t>0x0000001C</t>
    <phoneticPr fontId="1"/>
  </si>
  <si>
    <t>温度閾値、監視周期追加</t>
    <rPh sb="0" eb="2">
      <t>オンド</t>
    </rPh>
    <rPh sb="2" eb="4">
      <t>シキイチ</t>
    </rPh>
    <rPh sb="5" eb="7">
      <t>カンシ</t>
    </rPh>
    <rPh sb="7" eb="9">
      <t>シュウキ</t>
    </rPh>
    <rPh sb="9" eb="11">
      <t>ツイカ</t>
    </rPh>
    <phoneticPr fontId="1"/>
  </si>
  <si>
    <t>IOTDS_SERVICE_MANUAL</t>
    <phoneticPr fontId="1"/>
  </si>
  <si>
    <t>IOTDS_PLUGININFO_FIND_PATH</t>
    <phoneticPr fontId="1"/>
  </si>
  <si>
    <t>plug_*\Plugin.*\*.dll,Bin\Plugins\plugin.*\*.dll</t>
    <phoneticPr fontId="1"/>
  </si>
  <si>
    <t>Pulugin検索パス</t>
    <rPh sb="7" eb="9">
      <t>ケンサク</t>
    </rPh>
    <phoneticPr fontId="1"/>
  </si>
  <si>
    <t>追加Plugin対象外ファイル</t>
    <rPh sb="0" eb="2">
      <t>ツイカ</t>
    </rPh>
    <rPh sb="8" eb="11">
      <t>タイショウガイ</t>
    </rPh>
    <phoneticPr fontId="1"/>
  </si>
  <si>
    <t>IOTDS_PLUGININFO_FIND_IGNORE</t>
    <phoneticPr fontId="1"/>
  </si>
  <si>
    <t>$done,$uninstall</t>
    <phoneticPr fontId="1"/>
  </si>
  <si>
    <t>「,」区切りで複数ファイル指定</t>
    <rPh sb="7" eb="9">
      <t>フクスウ</t>
    </rPh>
    <rPh sb="13" eb="15">
      <t>シテイ</t>
    </rPh>
    <phoneticPr fontId="1"/>
  </si>
  <si>
    <t>ProviderLib,AddonsProviderLib</t>
    <phoneticPr fontId="1"/>
  </si>
  <si>
    <t>プロバイダ情報種別</t>
    <rPh sb="5" eb="7">
      <t>ジョウホウ</t>
    </rPh>
    <rPh sb="7" eb="9">
      <t>シュベツ</t>
    </rPh>
    <phoneticPr fontId="1"/>
  </si>
  <si>
    <t>IOTDS_PROVIDER_POSITION_PATH</t>
    <phoneticPr fontId="1"/>
  </si>
  <si>
    <t>本体温度警告ヒステリシス</t>
  </si>
  <si>
    <t>本体温度エラーヒステリシス</t>
  </si>
  <si>
    <t>CPU温度警告ヒステリシス</t>
  </si>
  <si>
    <t>CPU温度エラーヒステリシス</t>
  </si>
  <si>
    <t>IDSC_TEMP_CPU_WARN_SRESHOLD</t>
  </si>
  <si>
    <t>IDSC_TEMP_CPU_WARN_HYSTERESIS</t>
  </si>
  <si>
    <t>IDSC_TEMP_CPU_ERR_SRESHOLD</t>
  </si>
  <si>
    <t>IDSC_TEMP_CPU_ERR_HYSTERESIS</t>
  </si>
  <si>
    <t>IDSC_TEMP_BDY_WATCH_INTERVAL</t>
  </si>
  <si>
    <t>IDSC_TEMP_BDY_WARN_SRESHOLD</t>
  </si>
  <si>
    <t>IDSC_TEMP_BDY_WARN_HYSTERESIS</t>
  </si>
  <si>
    <t>IDSC_TEMP_BDY_ERR_SRESHOLD</t>
  </si>
  <si>
    <t>IDSC_TEMP_BDY_ERR_HYSTERESIS</t>
  </si>
  <si>
    <t>0x0000001D</t>
  </si>
  <si>
    <t>CPU使用率警告ヒステリシス</t>
    <phoneticPr fontId="1"/>
  </si>
  <si>
    <t>CPU使用率エラーヒステリシス</t>
    <phoneticPr fontId="1"/>
  </si>
  <si>
    <t>CPU使用率連続カウント</t>
    <rPh sb="6" eb="8">
      <t>レンゾク</t>
    </rPh>
    <phoneticPr fontId="1"/>
  </si>
  <si>
    <t>IDSC_CPU_PER_WATCH_INTERVAL</t>
    <phoneticPr fontId="1"/>
  </si>
  <si>
    <t>IDSC_CPU_PER_WARN_SRESHOLD</t>
    <phoneticPr fontId="1"/>
  </si>
  <si>
    <t>IDSC_CPU_PER_WARN_HYSTERESIS</t>
    <phoneticPr fontId="1"/>
  </si>
  <si>
    <t>IDSC_CPU_PER_ERR_SRESHOLD</t>
    <phoneticPr fontId="1"/>
  </si>
  <si>
    <t>IDSC_CPU_PER_ERR_HYSTERESIS</t>
    <phoneticPr fontId="1"/>
  </si>
  <si>
    <t>IDSC_CPU_PER_DECISION_COUNT</t>
    <phoneticPr fontId="1"/>
  </si>
  <si>
    <t>IOTDS_LICENSE_FILE</t>
    <phoneticPr fontId="1"/>
  </si>
  <si>
    <t>ライセンスファイル</t>
    <phoneticPr fontId="1"/>
  </si>
  <si>
    <t>C:\IoTDataServer\Doc\LicenseAgreement_ja.txt,C:\IoTDataServer\Doc\LicenseAgreement_en.txt</t>
    <phoneticPr fontId="1"/>
  </si>
  <si>
    <t>與猶</t>
    <rPh sb="0" eb="1">
      <t>ヨ</t>
    </rPh>
    <rPh sb="1" eb="2">
      <t>ナオ</t>
    </rPh>
    <phoneticPr fontId="1"/>
  </si>
  <si>
    <t>Lancherメニューの権限設定を追加</t>
    <rPh sb="12" eb="14">
      <t>ケンゲン</t>
    </rPh>
    <rPh sb="14" eb="16">
      <t>セッテイ</t>
    </rPh>
    <rPh sb="17" eb="19">
      <t>ツイカ</t>
    </rPh>
    <phoneticPr fontId="1"/>
  </si>
  <si>
    <t>DB容量警告ヒステリシス</t>
    <phoneticPr fontId="1"/>
  </si>
  <si>
    <t>DB容量エラーヒステリシス</t>
    <phoneticPr fontId="1"/>
  </si>
  <si>
    <t>IDSC_DB_WATCH_INTERVAL</t>
  </si>
  <si>
    <t>IDSC_DB_WARN_SRESHOLD</t>
  </si>
  <si>
    <t>IDSC_DB_WARN_HYSTERESIS</t>
  </si>
  <si>
    <t>IDSC_DB_ERR_SRESHOLD</t>
  </si>
  <si>
    <t>IDSC_DB_ERR_HYSTERESIS</t>
  </si>
  <si>
    <t>LANGがSystemになっていたため修正
定期監視項目追加</t>
    <rPh sb="19" eb="21">
      <t>シュウセイ</t>
    </rPh>
    <phoneticPr fontId="1"/>
  </si>
  <si>
    <t>IOTDS_RESTORE_DB_PATH</t>
    <phoneticPr fontId="1"/>
  </si>
  <si>
    <t>データベースバックアップファイルパス</t>
    <phoneticPr fontId="1"/>
  </si>
  <si>
    <t>データベースリストアファイルパス</t>
    <phoneticPr fontId="1"/>
  </si>
  <si>
    <t>%IOTAPPTEMP%\Backup\SQLServer\IoTDSDB.bak</t>
    <phoneticPr fontId="1"/>
  </si>
  <si>
    <t>「%」囲み文字は環境変数</t>
    <rPh sb="3" eb="4">
      <t>カコ</t>
    </rPh>
    <rPh sb="5" eb="7">
      <t>モジ</t>
    </rPh>
    <rPh sb="8" eb="10">
      <t>カンキョウ</t>
    </rPh>
    <rPh sb="10" eb="12">
      <t>ヘンスウ</t>
    </rPh>
    <phoneticPr fontId="1"/>
  </si>
  <si>
    <t>0x0000001E</t>
    <phoneticPr fontId="1"/>
  </si>
  <si>
    <t>%IOTAPPTEMP%\IoTDS\IoTDSLauncher\Custom.log</t>
    <phoneticPr fontId="1"/>
  </si>
  <si>
    <t>DeviceNet Slave</t>
    <phoneticPr fontId="1"/>
  </si>
  <si>
    <t>DeviceNet Master</t>
    <phoneticPr fontId="1"/>
  </si>
  <si>
    <t>EtherNet/IP Adapter</t>
    <phoneticPr fontId="1"/>
  </si>
  <si>
    <t>PROFIBUS Slave</t>
    <phoneticPr fontId="1"/>
  </si>
  <si>
    <t>CC-Link Remote Device</t>
    <phoneticPr fontId="1"/>
  </si>
  <si>
    <t>PROFINET IO Device</t>
    <phoneticPr fontId="1"/>
  </si>
  <si>
    <t>EtherCAT Slave</t>
    <phoneticPr fontId="1"/>
  </si>
  <si>
    <t>0x00000024</t>
    <phoneticPr fontId="1"/>
  </si>
  <si>
    <t>カスタムログパスを環境変数に
サービスマニュアル無しだが空にするのみ</t>
    <rPh sb="9" eb="11">
      <t>カンキョウ</t>
    </rPh>
    <rPh sb="11" eb="13">
      <t>ヘンスウ</t>
    </rPh>
    <rPh sb="24" eb="25">
      <t>ナ</t>
    </rPh>
    <rPh sb="28" eb="29">
      <t>カラ</t>
    </rPh>
    <phoneticPr fontId="1"/>
  </si>
  <si>
    <t>4→0に変更　Dell版</t>
    <rPh sb="4" eb="6">
      <t>ヘンコウ</t>
    </rPh>
    <rPh sb="11" eb="12">
      <t>バン</t>
    </rPh>
    <phoneticPr fontId="1"/>
  </si>
  <si>
    <t>CIFX0 PROFINET 入力モジュール No.4(0:0byte|32:32byte|256:256byte|360:360byte)</t>
    <phoneticPr fontId="1"/>
  </si>
  <si>
    <t>CIFX0 PROFINET 入力モジュール No.3(0:0byte|32:32byte|256:256byte|360:360byte)</t>
    <phoneticPr fontId="1"/>
  </si>
  <si>
    <t>CIFX0 PROFINET 入力モジュール No.2(0:0byte|32:32byte|256:256byte|360:360byte)</t>
    <phoneticPr fontId="1"/>
  </si>
  <si>
    <t>CIFX0 PROFINET 入力モジュール No.1(32:32byte|256:256byte|360:360byte)</t>
    <phoneticPr fontId="1"/>
  </si>
  <si>
    <t>CIFX0 PROFINET 出力モジュール No.4(0:0byte|32:32byte|256:256byte|360:360byte)</t>
    <phoneticPr fontId="1"/>
  </si>
  <si>
    <t>CIFX0 PROFINET 出力モジュール No.3(0:0byte|32:32byte|256:256byte|360:360byte)</t>
    <phoneticPr fontId="1"/>
  </si>
  <si>
    <t>CIFX0 PROFINET 出力モジュール No.2(0:0byte|32:32byte|256:256byte|360:360byte)</t>
    <phoneticPr fontId="1"/>
  </si>
  <si>
    <t>入力範囲360追加　Dell版</t>
    <rPh sb="0" eb="2">
      <t>ニュウリョク</t>
    </rPh>
    <rPh sb="2" eb="4">
      <t>ハンイ</t>
    </rPh>
    <rPh sb="7" eb="9">
      <t>ツイカ</t>
    </rPh>
    <rPh sb="14" eb="15">
      <t>バン</t>
    </rPh>
    <phoneticPr fontId="1"/>
  </si>
  <si>
    <t>CIFX0 PROFINET 出力モジュール No.1(32:32byte|256:256byte|360:360byte)</t>
    <phoneticPr fontId="1"/>
  </si>
  <si>
    <t>CIFX1 PROFINET 出力モジュール No.1(32:32byte|256:256byte|360:360byte)</t>
  </si>
  <si>
    <t>CIFX1 PROFINET 出力モジュール No.2(0:0byte|32:32byte|256:256byte|360:360byte)</t>
  </si>
  <si>
    <t>CIFX1 PROFINET 出力モジュール No.3(0:0byte|32:32byte|256:256byte|360:360byte)</t>
  </si>
  <si>
    <t>CIFX1 PROFINET 出力モジュール No.4(0:0byte|32:32byte|256:256byte|360:360byte)</t>
  </si>
  <si>
    <t>CIFX1 PROFINET 入力モジュール No.1(32:32byte|256:256byte|360:360byte)</t>
  </si>
  <si>
    <t>CIFX1 PROFINET 入力モジュール No.2(0:0byte|32:32byte|256:256byte|360:360byte)</t>
  </si>
  <si>
    <t>CIFX1 PROFINET 入力モジュール No.3(0:0byte|32:32byte|256:256byte|360:360byte)</t>
  </si>
  <si>
    <t>CIFX1 PROFINET 入力モジュール No.4(0:0byte|32:32byte|256:256byte|360:360byte)</t>
  </si>
  <si>
    <t>CIFX2 PROFINET 出力モジュール No.1(32:32byte|256:256byte|360:360byte)</t>
  </si>
  <si>
    <t>CIFX2 PROFINET 出力モジュール No.2(0:0byte|32:32byte|256:256byte|360:360byte)</t>
  </si>
  <si>
    <t>CIFX2 PROFINET 出力モジュール No.3(0:0byte|32:32byte|256:256byte|360:360byte)</t>
  </si>
  <si>
    <t>CIFX2 PROFINET 出力モジュール No.4(0:0byte|32:32byte|256:256byte|360:360byte)</t>
  </si>
  <si>
    <t>CIFX2 PROFINET 入力モジュール No.1(32:32byte|256:256byte|360:360byte)</t>
  </si>
  <si>
    <t>CIFX2 PROFINET 入力モジュール No.2(0:0byte|32:32byte|256:256byte|360:360byte)</t>
  </si>
  <si>
    <t>CIFX2 PROFINET 入力モジュール No.3(0:0byte|32:32byte|256:256byte|360:360byte)</t>
  </si>
  <si>
    <t>CIFX2 PROFINET 入力モジュール No.4(0:0byte|32:32byte|256:256byte|360:360byte)</t>
  </si>
  <si>
    <t>CIFX3 PROFINET 出力モジュール No.1(32:32byte|256:256byte|360:360byte)</t>
  </si>
  <si>
    <t>CIFX3 PROFINET 出力モジュール No.2(0:0byte|32:32byte|256:256byte|360:360byte)</t>
  </si>
  <si>
    <t>CIFX3 PROFINET 出力モジュール No.3(0:0byte|32:32byte|256:256byte|360:360byte)</t>
  </si>
  <si>
    <t>CIFX3 PROFINET 出力モジュール No.4(0:0byte|32:32byte|256:256byte|360:360byte)</t>
  </si>
  <si>
    <t>CIFX3 PROFINET 入力モジュール No.1(32:32byte|256:256byte|360:360byte)</t>
  </si>
  <si>
    <t>CIFX3 PROFINET 入力モジュール No.2(0:0byte|32:32byte|256:256byte|360:360byte)</t>
  </si>
  <si>
    <t>CIFX3 PROFINET 入力モジュール No.3(0:0byte|32:32byte|256:256byte|360:360byte)</t>
  </si>
  <si>
    <t>CIFX3 PROFINET 入力モジュール No.4(0:0byte|32:32byte|256:256byte|360:360byte)</t>
  </si>
  <si>
    <t>CIFX4 PROFINET 出力モジュール No.1(32:32byte|256:256byte|360:360byte)</t>
  </si>
  <si>
    <t>CIFX4 PROFINET 出力モジュール No.2(0:0byte|32:32byte|256:256byte|360:360byte)</t>
  </si>
  <si>
    <t>CIFX4 PROFINET 出力モジュール No.3(0:0byte|32:32byte|256:256byte|360:360byte)</t>
  </si>
  <si>
    <t>CIFX4 PROFINET 出力モジュール No.4(0:0byte|32:32byte|256:256byte|360:360byte)</t>
  </si>
  <si>
    <t>CIFX4 PROFINET 入力モジュール No.1(32:32byte|256:256byte|360:360byte)</t>
  </si>
  <si>
    <t>CIFX4 PROFINET 入力モジュール No.2(0:0byte|32:32byte|256:256byte|360:360byte)</t>
  </si>
  <si>
    <t>CIFX4 PROFINET 入力モジュール No.3(0:0byte|32:32byte|256:256byte|360:360byte)</t>
  </si>
  <si>
    <t>CIFX4 PROFINET 入力モジュール No.4(0:0byte|32:32byte|256:256byte|360:360byte)</t>
  </si>
  <si>
    <t>CIFX5 PROFINET 出力モジュール No.1(32:32byte|256:256byte|360:360byte)</t>
  </si>
  <si>
    <t>CIFX5 PROFINET 出力モジュール No.2(0:0byte|32:32byte|256:256byte|360:360byte)</t>
  </si>
  <si>
    <t>CIFX5 PROFINET 出力モジュール No.3(0:0byte|32:32byte|256:256byte|360:360byte)</t>
  </si>
  <si>
    <t>CIFX5 PROFINET 出力モジュール No.4(0:0byte|32:32byte|256:256byte|360:360byte)</t>
  </si>
  <si>
    <t>CIFX5 PROFINET 入力モジュール No.1(32:32byte|256:256byte|360:360byte)</t>
  </si>
  <si>
    <t>CIFX5 PROFINET 入力モジュール No.2(0:0byte|32:32byte|256:256byte|360:360byte)</t>
  </si>
  <si>
    <t>CIFX5 PROFINET 入力モジュール No.3(0:0byte|32:32byte|256:256byte|360:360byte)</t>
  </si>
  <si>
    <t>CIFX5 PROFINET 入力モジュール No.4(0:0byte|32:32byte|256:256byte|360:360byte)</t>
  </si>
  <si>
    <t>CIFX6 PROFINET 出力モジュール No.1(32:32byte|256:256byte|360:360byte)</t>
  </si>
  <si>
    <t>CIFX6 PROFINET 出力モジュール No.2(0:0byte|32:32byte|256:256byte|360:360byte)</t>
  </si>
  <si>
    <t>CIFX6 PROFINET 出力モジュール No.3(0:0byte|32:32byte|256:256byte|360:360byte)</t>
  </si>
  <si>
    <t>CIFX6 PROFINET 出力モジュール No.4(0:0byte|32:32byte|256:256byte|360:360byte)</t>
  </si>
  <si>
    <t>CIFX6 PROFINET 入力モジュール No.1(32:32byte|256:256byte|360:360byte)</t>
  </si>
  <si>
    <t>CIFX6 PROFINET 入力モジュール No.2(0:0byte|32:32byte|256:256byte|360:360byte)</t>
  </si>
  <si>
    <t>CIFX6 PROFINET 入力モジュール No.3(0:0byte|32:32byte|256:256byte|360:360byte)</t>
  </si>
  <si>
    <t>CIFX6 PROFINET 入力モジュール No.4(0:0byte|32:32byte|256:256byte|360:360byte)</t>
  </si>
  <si>
    <t>CIFX7 PROFINET 出力モジュール No.1(32:32byte|256:256byte|360:360byte)</t>
  </si>
  <si>
    <t>CIFX7 PROFINET 出力モジュール No.2(0:0byte|32:32byte|256:256byte|360:360byte)</t>
  </si>
  <si>
    <t>CIFX7 PROFINET 出力モジュール No.3(0:0byte|32:32byte|256:256byte|360:360byte)</t>
  </si>
  <si>
    <t>CIFX7 PROFINET 出力モジュール No.4(0:0byte|32:32byte|256:256byte|360:360byte)</t>
  </si>
  <si>
    <t>CIFX7 PROFINET 入力モジュール No.1(32:32byte|256:256byte|360:360byte)</t>
  </si>
  <si>
    <t>CIFX7 PROFINET 入力モジュール No.2(0:0byte|32:32byte|256:256byte|360:360byte)</t>
  </si>
  <si>
    <t>CIFX7 PROFINET 入力モジュール No.3(0:0byte|32:32byte|256:256byte|360:360byte)</t>
  </si>
  <si>
    <t>CIFX7 PROFINET 入力モジュール No.4(0:0byte|32:32byte|256:256byte|360:360byte)</t>
  </si>
  <si>
    <t>CIFX8 PROFINET 出力モジュール No.1(32:32byte|256:256byte|360:360byte)</t>
  </si>
  <si>
    <t>CIFX8 PROFINET 出力モジュール No.2(0:0byte|32:32byte|256:256byte|360:360byte)</t>
  </si>
  <si>
    <t>CIFX8 PROFINET 出力モジュール No.3(0:0byte|32:32byte|256:256byte|360:360byte)</t>
  </si>
  <si>
    <t>CIFX8 PROFINET 出力モジュール No.4(0:0byte|32:32byte|256:256byte|360:360byte)</t>
  </si>
  <si>
    <t>CIFX8 PROFINET 入力モジュール No.1(32:32byte|256:256byte|360:360byte)</t>
  </si>
  <si>
    <t>CIFX8 PROFINET 入力モジュール No.2(0:0byte|32:32byte|256:256byte|360:360byte)</t>
  </si>
  <si>
    <t>CIFX8 PROFINET 入力モジュール No.3(0:0byte|32:32byte|256:256byte|360:360byte)</t>
  </si>
  <si>
    <t>CIFX8 PROFINET 入力モジュール No.4(0:0byte|32:32byte|256:256byte|360:360byte)</t>
  </si>
  <si>
    <t>CIFX9 PROFINET 出力モジュール No.1(32:32byte|256:256byte|360:360byte)</t>
  </si>
  <si>
    <t>CIFX9 PROFINET 出力モジュール No.2(0:0byte|32:32byte|256:256byte|360:360byte)</t>
  </si>
  <si>
    <t>CIFX9 PROFINET 出力モジュール No.3(0:0byte|32:32byte|256:256byte|360:360byte)</t>
  </si>
  <si>
    <t>CIFX9 PROFINET 出力モジュール No.4(0:0byte|32:32byte|256:256byte|360:360byte)</t>
  </si>
  <si>
    <t>CIFX9 PROFINET 入力モジュール No.1(32:32byte|256:256byte|360:360byte)</t>
  </si>
  <si>
    <t>CIFX9 PROFINET 入力モジュール No.2(0:0byte|32:32byte|256:256byte|360:360byte)</t>
  </si>
  <si>
    <t>CIFX9 PROFINET 入力モジュール No.3(0:0byte|32:32byte|256:256byte|360:360byte)</t>
  </si>
  <si>
    <t>CIFX9 PROFINET 入力モジュール No.4(0:0byte|32:32byte|256:256byte|360:360byte)</t>
  </si>
  <si>
    <t>IDSC_MEM_GET_INTERVAL</t>
    <phoneticPr fontId="1"/>
  </si>
  <si>
    <t>ユーザドライブ容量取得周期</t>
    <rPh sb="9" eb="11">
      <t>シュトク</t>
    </rPh>
    <phoneticPr fontId="1"/>
  </si>
  <si>
    <t>IDSC_UWF_GET_INTERVAL</t>
    <phoneticPr fontId="1"/>
  </si>
  <si>
    <t>IDSC_CPU_PER_GET_INTERVAL</t>
    <phoneticPr fontId="1"/>
  </si>
  <si>
    <t>IDSC_TEMP_CPU_GET_INTERVAL</t>
    <phoneticPr fontId="1"/>
  </si>
  <si>
    <t>IDSC_TEMP_BDY_GET_INTERVAL</t>
    <phoneticPr fontId="1"/>
  </si>
  <si>
    <t>IDSC_DB_GET_INTERVAL</t>
    <phoneticPr fontId="1"/>
  </si>
  <si>
    <t>ユーザドライブ容量エラー閾値（残％）</t>
    <rPh sb="15" eb="16">
      <t>ザン</t>
    </rPh>
    <phoneticPr fontId="1"/>
  </si>
  <si>
    <t>ユーザドライブ容量警告閾値（残％）</t>
    <phoneticPr fontId="1"/>
  </si>
  <si>
    <t>メモリ容量警告閾値（残％）</t>
    <phoneticPr fontId="1"/>
  </si>
  <si>
    <t>メモリ容量エラー閾値（残％）</t>
    <phoneticPr fontId="1"/>
  </si>
  <si>
    <t>UWF容量エラー閾値（残％）</t>
    <phoneticPr fontId="1"/>
  </si>
  <si>
    <t>UWF容量警告閾値（残％）</t>
    <phoneticPr fontId="1"/>
  </si>
  <si>
    <t>DB容量警告閾値（残％）</t>
    <phoneticPr fontId="1"/>
  </si>
  <si>
    <t>DB容量エラー閾値（残％）</t>
    <phoneticPr fontId="1"/>
  </si>
  <si>
    <t>IDSC_TEMP_CPU_BUFFERING</t>
    <phoneticPr fontId="1"/>
  </si>
  <si>
    <t>CPU温度バッファリング数</t>
    <rPh sb="12" eb="13">
      <t>スウ</t>
    </rPh>
    <phoneticPr fontId="1"/>
  </si>
  <si>
    <t>IDSC_TEMP_BDY_BUFFERING</t>
    <phoneticPr fontId="1"/>
  </si>
  <si>
    <t>本体温度バッファリング数</t>
    <rPh sb="0" eb="2">
      <t>ホンタイ</t>
    </rPh>
    <rPh sb="11" eb="12">
      <t>スウ</t>
    </rPh>
    <phoneticPr fontId="1"/>
  </si>
  <si>
    <t>CPU使用率警告超過閾値（％）</t>
    <rPh sb="3" eb="5">
      <t>シヨウ</t>
    </rPh>
    <rPh sb="5" eb="6">
      <t>リツ</t>
    </rPh>
    <rPh sb="8" eb="10">
      <t>チョウカ</t>
    </rPh>
    <phoneticPr fontId="1"/>
  </si>
  <si>
    <t>CPU使用率エラー超過設定値（％）</t>
    <phoneticPr fontId="1"/>
  </si>
  <si>
    <t>CPU温度エラー超過設閾値（℃）</t>
    <rPh sb="11" eb="13">
      <t>シキイチ</t>
    </rPh>
    <phoneticPr fontId="1"/>
  </si>
  <si>
    <t>CPU温度警告超過閾値（℃）</t>
    <phoneticPr fontId="1"/>
  </si>
  <si>
    <t>本体温度警告超過閾値（℃）</t>
    <phoneticPr fontId="1"/>
  </si>
  <si>
    <t>本体温度エラー超過閾値（℃）</t>
    <phoneticPr fontId="1"/>
  </si>
  <si>
    <t>Success,INFO,WARN,ERROR,FATAL</t>
    <phoneticPr fontId="1"/>
  </si>
  <si>
    <t>LAUNCH_WINDOWS_SRC_LIST</t>
    <phoneticPr fontId="1"/>
  </si>
  <si>
    <t>LAUNCH_WINDOWS_SRC_SELECT</t>
    <phoneticPr fontId="1"/>
  </si>
  <si>
    <t>0x00000020</t>
    <phoneticPr fontId="1"/>
  </si>
  <si>
    <t>EtherNet/IP Adapterの入出力範囲が0からに変更
PROFINET IO Deviceのサイズ選択に360が追加</t>
    <phoneticPr fontId="1"/>
  </si>
  <si>
    <t>Windowsログ変更
監視方法変更</t>
    <rPh sb="9" eb="11">
      <t>ヘンコウ</t>
    </rPh>
    <rPh sb="12" eb="14">
      <t>カンシ</t>
    </rPh>
    <rPh sb="14" eb="16">
      <t>ホウホウ</t>
    </rPh>
    <rPh sb="16" eb="18">
      <t>ヘンコウ</t>
    </rPh>
    <phoneticPr fontId="1"/>
  </si>
  <si>
    <t>UPSメーカ初期選択（IPCベンダー別）</t>
    <rPh sb="6" eb="8">
      <t>ショキ</t>
    </rPh>
    <phoneticPr fontId="1"/>
  </si>
  <si>
    <t>UPSメーカ初期選択（IPCベンダー別）</t>
    <phoneticPr fontId="1"/>
  </si>
  <si>
    <t>APC</t>
    <phoneticPr fontId="1"/>
  </si>
  <si>
    <t>APC</t>
    <phoneticPr fontId="1"/>
  </si>
  <si>
    <t>UPSメーカ初期選択（IPCベンダー別）</t>
    <phoneticPr fontId="1"/>
  </si>
  <si>
    <t>UPS接続種別選択（IPCベンダー別）</t>
    <rPh sb="3" eb="5">
      <t>セツゾク</t>
    </rPh>
    <rPh sb="5" eb="7">
      <t>シュベツ</t>
    </rPh>
    <phoneticPr fontId="1"/>
  </si>
  <si>
    <t>COM1</t>
    <phoneticPr fontId="1"/>
  </si>
  <si>
    <t>0x00000021</t>
    <phoneticPr fontId="1"/>
  </si>
  <si>
    <t>UPS初期値をIPC別に追加</t>
    <rPh sb="3" eb="6">
      <t>ショキチ</t>
    </rPh>
    <rPh sb="10" eb="11">
      <t>ベツ</t>
    </rPh>
    <rPh sb="12" eb="14">
      <t>ツイカ</t>
    </rPh>
    <phoneticPr fontId="1"/>
  </si>
  <si>
    <t>與猶</t>
    <rPh sb="0" eb="1">
      <t>ヨ</t>
    </rPh>
    <rPh sb="1" eb="2">
      <t>ナオ</t>
    </rPh>
    <phoneticPr fontId="1"/>
  </si>
  <si>
    <t>Lancherメニューの権限設定を変更</t>
    <rPh sb="17" eb="19">
      <t>ヘンコウ</t>
    </rPh>
    <phoneticPr fontId="1"/>
  </si>
  <si>
    <t>IOTDS_INITIAL_PROC_TIME</t>
    <phoneticPr fontId="1"/>
  </si>
  <si>
    <t>0x00000022</t>
    <phoneticPr fontId="1"/>
  </si>
  <si>
    <t>初回起動時の通知時間設定</t>
    <rPh sb="0" eb="2">
      <t>ショカイ</t>
    </rPh>
    <rPh sb="2" eb="4">
      <t>キドウ</t>
    </rPh>
    <rPh sb="4" eb="5">
      <t>ジ</t>
    </rPh>
    <rPh sb="6" eb="8">
      <t>ツウチ</t>
    </rPh>
    <rPh sb="8" eb="10">
      <t>ジカン</t>
    </rPh>
    <rPh sb="10" eb="12">
      <t>セッテイ</t>
    </rPh>
    <phoneticPr fontId="1"/>
  </si>
  <si>
    <t>UPS種別リスト可能接続種別（UPSメーカーAPC)</t>
    <rPh sb="3" eb="5">
      <t>シュベツ</t>
    </rPh>
    <rPh sb="8" eb="10">
      <t>カノウ</t>
    </rPh>
    <rPh sb="10" eb="12">
      <t>セツゾク</t>
    </rPh>
    <rPh sb="12" eb="14">
      <t>シュベツ</t>
    </rPh>
    <phoneticPr fontId="1"/>
  </si>
  <si>
    <t>APCのUPS場合　最大COM</t>
    <rPh sb="7" eb="9">
      <t>バアイ</t>
    </rPh>
    <rPh sb="10" eb="12">
      <t>サイダイ</t>
    </rPh>
    <phoneticPr fontId="1"/>
  </si>
  <si>
    <t>0x00000023</t>
    <phoneticPr fontId="1"/>
  </si>
  <si>
    <t>LAUNCH_LOG_GETLOGS_MAX</t>
    <phoneticPr fontId="1"/>
  </si>
  <si>
    <t>UPS　設定追加
HMS 入力制限変更
LauncerログIoTDataServerフィルタにView追加</t>
    <rPh sb="4" eb="6">
      <t>セッテイ</t>
    </rPh>
    <rPh sb="6" eb="8">
      <t>ツイカ</t>
    </rPh>
    <rPh sb="13" eb="15">
      <t>ニュウリョク</t>
    </rPh>
    <rPh sb="15" eb="17">
      <t>セイゲン</t>
    </rPh>
    <rPh sb="17" eb="19">
      <t>ヘンコウ</t>
    </rPh>
    <rPh sb="51" eb="53">
      <t>ツイカ</t>
    </rPh>
    <phoneticPr fontId="1"/>
  </si>
  <si>
    <t>データベースユーザ名</t>
    <rPh sb="9" eb="10">
      <t>メイ</t>
    </rPh>
    <phoneticPr fontId="1"/>
  </si>
  <si>
    <t>DB_DATABASE_USER</t>
    <phoneticPr fontId="1"/>
  </si>
  <si>
    <t>データベースユーザパスワード</t>
    <phoneticPr fontId="1"/>
  </si>
  <si>
    <t>DB_DATABASE_PASSWORD</t>
    <phoneticPr fontId="1"/>
  </si>
  <si>
    <t>NTP Server</t>
    <phoneticPr fontId="1"/>
  </si>
  <si>
    <t>IoTDSData.xml</t>
    <phoneticPr fontId="1"/>
  </si>
  <si>
    <t>画面時間設定修正
IoTDSData.xmlに変更</t>
    <rPh sb="0" eb="2">
      <t>ガメン</t>
    </rPh>
    <rPh sb="2" eb="4">
      <t>ジカン</t>
    </rPh>
    <rPh sb="4" eb="6">
      <t>セッテイ</t>
    </rPh>
    <rPh sb="6" eb="8">
      <t>シュウセイ</t>
    </rPh>
    <rPh sb="23" eb="25">
      <t>ヘンコウ</t>
    </rPh>
    <phoneticPr fontId="1"/>
  </si>
  <si>
    <t>ユーザドライブ有無監視周期</t>
    <rPh sb="7" eb="9">
      <t>ウム</t>
    </rPh>
    <phoneticPr fontId="1"/>
  </si>
  <si>
    <t>IDSC_UDRV_HAVE_WATCH_INTERVAL</t>
    <phoneticPr fontId="1"/>
  </si>
  <si>
    <t>ログフィルタ変更</t>
    <rPh sb="6" eb="8">
      <t>ヘンコウ</t>
    </rPh>
    <phoneticPr fontId="1"/>
  </si>
  <si>
    <t>0x00000025</t>
    <phoneticPr fontId="1"/>
  </si>
  <si>
    <t>保存項目</t>
    <rPh sb="0" eb="2">
      <t>ホゾン</t>
    </rPh>
    <rPh sb="2" eb="4">
      <t>コウモク</t>
    </rPh>
    <phoneticPr fontId="1"/>
  </si>
  <si>
    <t>保存項目</t>
    <rPh sb="0" eb="2">
      <t>ホゾン</t>
    </rPh>
    <phoneticPr fontId="1"/>
  </si>
  <si>
    <t>CIFX0 PROFINET TagFunction</t>
    <phoneticPr fontId="1"/>
  </si>
  <si>
    <t>CIFX0 PROFINET TagLocation</t>
    <phoneticPr fontId="1"/>
  </si>
  <si>
    <t>CIFX0 PROFINET InstallationDate</t>
    <phoneticPr fontId="1"/>
  </si>
  <si>
    <t>CIFX0 PROFINET Descriptor</t>
    <phoneticPr fontId="1"/>
  </si>
  <si>
    <t>CIFX_0_PROFINET_TAG_FUNCTION</t>
    <phoneticPr fontId="1"/>
  </si>
  <si>
    <t>CIFX_0_PROFINET_TAG_LOCATION</t>
    <phoneticPr fontId="1"/>
  </si>
  <si>
    <t>CIFX_0_PROFINET_INSTALLATION_DATE</t>
    <phoneticPr fontId="1"/>
  </si>
  <si>
    <t>CIFX_0_PROFINET_DESCRIPTOR</t>
    <phoneticPr fontId="1"/>
  </si>
  <si>
    <t>CIFX1 PROFINET TagFunction</t>
    <phoneticPr fontId="1"/>
  </si>
  <si>
    <t>CIFX_1_PROFINET_TAG_FUNCTION</t>
    <phoneticPr fontId="1"/>
  </si>
  <si>
    <t>CIFX_1_PROFINET_TAG_LOCATION</t>
    <phoneticPr fontId="1"/>
  </si>
  <si>
    <t>CIFX_1_PROFINET_INSTALLATION_DATE</t>
    <phoneticPr fontId="1"/>
  </si>
  <si>
    <t>CIFX_1_PROFINET_DESCRIPTOR</t>
    <phoneticPr fontId="1"/>
  </si>
  <si>
    <t>CIFX1 PROFINET Descriptor</t>
    <phoneticPr fontId="1"/>
  </si>
  <si>
    <t>CIFX1 PROFINET InstallationDate</t>
    <phoneticPr fontId="1"/>
  </si>
  <si>
    <t>CIFX1 PROFINET TagLocation</t>
    <phoneticPr fontId="1"/>
  </si>
  <si>
    <t>CIFX2 PROFINET TagFunction</t>
    <phoneticPr fontId="1"/>
  </si>
  <si>
    <t>CIFX2 PROFINET TagLocation</t>
    <phoneticPr fontId="1"/>
  </si>
  <si>
    <t>CIFX2 PROFINET InstallationDate</t>
    <phoneticPr fontId="1"/>
  </si>
  <si>
    <t>CIFX2 PROFINET Descriptor</t>
    <phoneticPr fontId="1"/>
  </si>
  <si>
    <t>CIFX_2_PROFINET_DESCRIPTOR</t>
    <phoneticPr fontId="1"/>
  </si>
  <si>
    <t>CIFX_2_PROFINET_INSTALLATION_DATE</t>
    <phoneticPr fontId="1"/>
  </si>
  <si>
    <t>CIFX_2_PROFINET_TAG_LOCATION</t>
    <phoneticPr fontId="1"/>
  </si>
  <si>
    <t>CIFX_2_PROFINET_TAG_FUNCTION</t>
    <phoneticPr fontId="1"/>
  </si>
  <si>
    <t>PROFINETコンフォーマンステスト対応</t>
    <rPh sb="19" eb="21">
      <t>タイオウ</t>
    </rPh>
    <phoneticPr fontId="1"/>
  </si>
  <si>
    <t>CIFX3 PROFINET TagFunction</t>
    <phoneticPr fontId="1"/>
  </si>
  <si>
    <t>CIFX3 PROFINET TagLocation</t>
    <phoneticPr fontId="1"/>
  </si>
  <si>
    <t>CIFX3 PROFINET InstallationDate</t>
    <phoneticPr fontId="1"/>
  </si>
  <si>
    <t>CIFX3 PROFINET Descriptor</t>
    <phoneticPr fontId="1"/>
  </si>
  <si>
    <t>CIFX_3_PROFINET_DESCRIPTOR</t>
    <phoneticPr fontId="1"/>
  </si>
  <si>
    <t>CIFX_3_PROFINET_INSTALLATION_DATE</t>
    <phoneticPr fontId="1"/>
  </si>
  <si>
    <t>CIFX_3_PROFINET_TAG_LOCATION</t>
    <phoneticPr fontId="1"/>
  </si>
  <si>
    <t>CIFX_3_PROFINET_TAG_FUNCTION</t>
    <phoneticPr fontId="1"/>
  </si>
  <si>
    <t>CIFX4 PROFINET TagFunction</t>
    <phoneticPr fontId="1"/>
  </si>
  <si>
    <t>CIFX4 PROFINET TagLocation</t>
    <phoneticPr fontId="1"/>
  </si>
  <si>
    <t>CIFX4 PROFINET InstallationDate</t>
    <phoneticPr fontId="1"/>
  </si>
  <si>
    <t>CIFX4 PROFINET Descriptor</t>
    <phoneticPr fontId="1"/>
  </si>
  <si>
    <t>CIFX_4_PROFINET_TAG_FUNCTION</t>
    <phoneticPr fontId="1"/>
  </si>
  <si>
    <t>CIFX_4_PROFINET_TAG_LOCATION</t>
    <phoneticPr fontId="1"/>
  </si>
  <si>
    <t>CIFX_4_PROFINET_INSTALLATION_DATE</t>
    <phoneticPr fontId="1"/>
  </si>
  <si>
    <t>CIFX_4_PROFINET_DESCRIPTOR</t>
    <phoneticPr fontId="1"/>
  </si>
  <si>
    <t>CIFX5 PROFINET TagFunction</t>
    <phoneticPr fontId="1"/>
  </si>
  <si>
    <t>CIFX5 PROFINET TagLocation</t>
    <phoneticPr fontId="1"/>
  </si>
  <si>
    <t>CIFX5 PROFINET InstallationDate</t>
    <phoneticPr fontId="1"/>
  </si>
  <si>
    <t>CIFX5 PROFINET Descriptor</t>
    <phoneticPr fontId="1"/>
  </si>
  <si>
    <t>CIFX_5_PROFINET_DESCRIPTOR</t>
    <phoneticPr fontId="1"/>
  </si>
  <si>
    <t>CIFX_5_PROFINET_INSTALLATION_DATE</t>
    <phoneticPr fontId="1"/>
  </si>
  <si>
    <t>CIFX_5_PROFINET_TAG_LOCATION</t>
    <phoneticPr fontId="1"/>
  </si>
  <si>
    <t>CIFX_5_PROFINET_TAG_FUNCTION</t>
    <phoneticPr fontId="1"/>
  </si>
  <si>
    <t>CIFX6 PROFINET TagFunction</t>
    <phoneticPr fontId="1"/>
  </si>
  <si>
    <t>CIFX6 PROFINET TagLocation</t>
    <phoneticPr fontId="1"/>
  </si>
  <si>
    <t>CIFX6 PROFINET InstallationDate</t>
    <phoneticPr fontId="1"/>
  </si>
  <si>
    <t>CIFX6 PROFINET Descriptor</t>
    <phoneticPr fontId="1"/>
  </si>
  <si>
    <t>CIFX_6_PROFINET_TAG_FUNCTION</t>
    <phoneticPr fontId="1"/>
  </si>
  <si>
    <t>CIFX_6_PROFINET_TAG_LOCATION</t>
    <phoneticPr fontId="1"/>
  </si>
  <si>
    <t>CIFX_6_PROFINET_INSTALLATION_DATE</t>
    <phoneticPr fontId="1"/>
  </si>
  <si>
    <t>CIFX_6_PROFINET_DESCRIPTOR</t>
    <phoneticPr fontId="1"/>
  </si>
  <si>
    <t>CIFX7 PROFINET TagFunction</t>
    <phoneticPr fontId="1"/>
  </si>
  <si>
    <t>CIFX7 PROFINET TagLocation</t>
    <phoneticPr fontId="1"/>
  </si>
  <si>
    <t>CIFX7 PROFINET InstallationDate</t>
    <phoneticPr fontId="1"/>
  </si>
  <si>
    <t>CIFX7 PROFINET Descriptor</t>
    <phoneticPr fontId="1"/>
  </si>
  <si>
    <t>CIFX_7_PROFINET_DESCRIPTOR</t>
    <phoneticPr fontId="1"/>
  </si>
  <si>
    <t>CIFX_7_PROFINET_INSTALLATION_DATE</t>
    <phoneticPr fontId="1"/>
  </si>
  <si>
    <t>CIFX_7_PROFINET_TAG_LOCATION</t>
    <phoneticPr fontId="1"/>
  </si>
  <si>
    <t>CIFX_7_PROFINET_TAG_FUNCTION</t>
    <phoneticPr fontId="1"/>
  </si>
  <si>
    <t>CIFX8 PROFINET TagFunction</t>
    <phoneticPr fontId="1"/>
  </si>
  <si>
    <t>CIFX8 PROFINET TagLocation</t>
    <phoneticPr fontId="1"/>
  </si>
  <si>
    <t>CIFX8 PROFINET InstallationDate</t>
    <phoneticPr fontId="1"/>
  </si>
  <si>
    <t>CIFX8 PROFINET Descriptor</t>
    <phoneticPr fontId="1"/>
  </si>
  <si>
    <t>CIFX_8_PROFINET_DESCRIPTOR</t>
    <phoneticPr fontId="1"/>
  </si>
  <si>
    <t>CIFX_8_PROFINET_INSTALLATION_DATE</t>
    <phoneticPr fontId="1"/>
  </si>
  <si>
    <t>CIFX_8_PROFINET_TAG_LOCATION</t>
    <phoneticPr fontId="1"/>
  </si>
  <si>
    <t>CIFX_8_PROFINET_TAG_FUNCTION</t>
    <phoneticPr fontId="1"/>
  </si>
  <si>
    <t>CIFX9 PROFINET TagFunction</t>
    <phoneticPr fontId="1"/>
  </si>
  <si>
    <t>CIFX9 PROFINET TagLocation</t>
    <phoneticPr fontId="1"/>
  </si>
  <si>
    <t>CIFX9 PROFINET InstallationDate</t>
    <phoneticPr fontId="1"/>
  </si>
  <si>
    <t>CIFX9 PROFINET Descriptor</t>
    <phoneticPr fontId="1"/>
  </si>
  <si>
    <t>CIFX_9_PROFINET_DESCRIPTOR</t>
    <phoneticPr fontId="1"/>
  </si>
  <si>
    <t>CIFX_9_PROFINET_INSTALLATION_DATE</t>
    <phoneticPr fontId="1"/>
  </si>
  <si>
    <t>CIFX_9_PROFINET_TAG_LOCATION</t>
    <phoneticPr fontId="1"/>
  </si>
  <si>
    <t>CIFX_9_PROFINET_TAG_FUNCTION</t>
    <phoneticPr fontId="1"/>
  </si>
  <si>
    <t>0x00000027</t>
    <phoneticPr fontId="1"/>
  </si>
  <si>
    <t>壁谷</t>
    <rPh sb="0" eb="2">
      <t>カベヤ</t>
    </rPh>
    <phoneticPr fontId="1"/>
  </si>
  <si>
    <t>温度バッファリングを1回に変更
IoTDSLauncherのログ保存しないよう修正</t>
    <rPh sb="0" eb="2">
      <t>オンド</t>
    </rPh>
    <rPh sb="11" eb="12">
      <t>カイ</t>
    </rPh>
    <rPh sb="13" eb="15">
      <t>ヘンコウ</t>
    </rPh>
    <rPh sb="32" eb="34">
      <t>ホゾン</t>
    </rPh>
    <rPh sb="39" eb="41">
      <t>シュウセイ</t>
    </rPh>
    <phoneticPr fontId="1"/>
  </si>
  <si>
    <t>自動ログイン設定（0:無効、1:有効）</t>
    <rPh sb="0" eb="2">
      <t>ジドウ</t>
    </rPh>
    <rPh sb="6" eb="8">
      <t>セッテイ</t>
    </rPh>
    <rPh sb="11" eb="13">
      <t>ムコウ</t>
    </rPh>
    <rPh sb="16" eb="18">
      <t>ユウコウ</t>
    </rPh>
    <phoneticPr fontId="1"/>
  </si>
  <si>
    <t>0x00000028</t>
    <phoneticPr fontId="1"/>
  </si>
  <si>
    <t>IOTDS_AUTOLOGIN_FLAG</t>
    <phoneticPr fontId="1"/>
  </si>
  <si>
    <t>IOTDS_AUTOLOGIN_USER</t>
    <phoneticPr fontId="1"/>
  </si>
  <si>
    <t>IOTDS_AUTOLOGIN_PASSWD</t>
    <phoneticPr fontId="1"/>
  </si>
  <si>
    <t>自動ログインパスワード</t>
    <rPh sb="0" eb="2">
      <t>ジドウ</t>
    </rPh>
    <phoneticPr fontId="1"/>
  </si>
  <si>
    <t>自動ログインユーザ</t>
    <rPh sb="0" eb="2">
      <t>ジドウ</t>
    </rPh>
    <phoneticPr fontId="1"/>
  </si>
  <si>
    <t>Administrator</t>
    <phoneticPr fontId="1"/>
  </si>
  <si>
    <t>r4Q/8tcHUtEHw1x7rO8HwnQkonrHcqaSmTyCUrlmbl2A+8H5AFggc8gMbaFPm2ysysVVe/XTCubqGGniRxW+8AxW+OstVaag29KJUMOyu6WZwaCIUZ1mULUPsE9QlJEh</t>
    <phoneticPr fontId="1"/>
  </si>
  <si>
    <t>IOTDS_TERMINATE_PROC_TIME</t>
    <phoneticPr fontId="1"/>
  </si>
  <si>
    <t>終了処理待ちタイミング[ms]</t>
    <rPh sb="0" eb="2">
      <t>シュウリョウ</t>
    </rPh>
    <rPh sb="2" eb="4">
      <t>ショリ</t>
    </rPh>
    <rPh sb="4" eb="5">
      <t>マ</t>
    </rPh>
    <phoneticPr fontId="1"/>
  </si>
  <si>
    <t>初回起動通知タイミング[ms]</t>
    <rPh sb="0" eb="2">
      <t>ショカイ</t>
    </rPh>
    <rPh sb="2" eb="4">
      <t>キドウ</t>
    </rPh>
    <rPh sb="4" eb="6">
      <t>ツウチ</t>
    </rPh>
    <phoneticPr fontId="1"/>
  </si>
  <si>
    <t>データベースSQL待ち時間(ms)</t>
    <rPh sb="9" eb="10">
      <t>マ</t>
    </rPh>
    <rPh sb="11" eb="13">
      <t>ジカン</t>
    </rPh>
    <phoneticPr fontId="1"/>
  </si>
  <si>
    <t>データベースリトライ回数</t>
    <rPh sb="10" eb="12">
      <t>カイスウ</t>
    </rPh>
    <phoneticPr fontId="1"/>
  </si>
  <si>
    <t>DB_DATABASE_RETRY</t>
    <phoneticPr fontId="1"/>
  </si>
  <si>
    <t>Windows認証のため未使用</t>
    <rPh sb="7" eb="9">
      <t>ニンショウ</t>
    </rPh>
    <rPh sb="12" eb="15">
      <t>ミシヨウ</t>
    </rPh>
    <phoneticPr fontId="1"/>
  </si>
  <si>
    <t>DB_DATABASE_BACKUP_RESTORE_WAIT</t>
    <phoneticPr fontId="1"/>
  </si>
  <si>
    <t>8+jjIRSeeKL2YhEDfcjTPiG+SPjUHeSFpgNYeuYw7fmdh/ZscEf+eG1YFWAC58x/CMUUYaO1H93UkEDYSK9rENNjXnSiE0pueOrDKYgNbyeAZ/4255JGWerzdUcQvdqN</t>
    <phoneticPr fontId="1"/>
  </si>
  <si>
    <t>aFwda4hUrrolqebXEzZmcp3J0O75mn4TKij3iRSMg769rYRDGdxpQuWo3Wd2TjpuiO//BEfHdSVKrbpcBqsA86Hlf9ZALIk4UvgiC6O9O8U2jmTpLJELEvHPcO2iIYU5</t>
    <phoneticPr fontId="1"/>
  </si>
  <si>
    <t>127.0.0.1\sqlexpress,1433</t>
    <phoneticPr fontId="1"/>
  </si>
  <si>
    <t>0x00000029</t>
    <phoneticPr fontId="1"/>
  </si>
  <si>
    <t>DB接続をlocalhost-&gt;127.0.0.1に変更</t>
    <rPh sb="2" eb="4">
      <t>セツゾク</t>
    </rPh>
    <rPh sb="26" eb="28">
      <t>ヘンコウ</t>
    </rPh>
    <phoneticPr fontId="1"/>
  </si>
  <si>
    <t>0123456789abcdefghijklmnopqrstuvwxyzABCDEFGHIJKLMNOPQRSTUVWXYZ`~!@#$%^&amp;()_-+={}[]|:;"'&lt;&gt;,. ?</t>
    <phoneticPr fontId="1"/>
  </si>
  <si>
    <t>Windowsパスワード「*」「\」「/」を除外
非力PCのページログ行数を250に変更</t>
    <rPh sb="22" eb="24">
      <t>ジョガイ</t>
    </rPh>
    <rPh sb="25" eb="27">
      <t>ヒリキ</t>
    </rPh>
    <rPh sb="35" eb="37">
      <t>ギョウスウ</t>
    </rPh>
    <rPh sb="42" eb="44">
      <t>ヘンコウ</t>
    </rPh>
    <phoneticPr fontId="1"/>
  </si>
  <si>
    <t>0x0000002A</t>
    <phoneticPr fontId="1"/>
  </si>
  <si>
    <t>0x00000040</t>
    <phoneticPr fontId="1"/>
  </si>
  <si>
    <t>ディスプレイ変更監視間隔[s]</t>
    <rPh sb="8" eb="10">
      <t>カンシ</t>
    </rPh>
    <rPh sb="10" eb="12">
      <t>カンカク</t>
    </rPh>
    <phoneticPr fontId="1"/>
  </si>
  <si>
    <t>サービス／プロセス稼働監視間隔[s]</t>
    <rPh sb="9" eb="11">
      <t>カドウ</t>
    </rPh>
    <rPh sb="11" eb="13">
      <t>カンシ</t>
    </rPh>
    <rPh sb="13" eb="15">
      <t>カンカク</t>
    </rPh>
    <phoneticPr fontId="1"/>
  </si>
  <si>
    <t>本体温度監視周期[s]</t>
    <phoneticPr fontId="1"/>
  </si>
  <si>
    <t>本体温度取得周期[s]</t>
    <rPh sb="4" eb="6">
      <t>シュトク</t>
    </rPh>
    <phoneticPr fontId="1"/>
  </si>
  <si>
    <t>CPU温度取得周期[s]</t>
    <rPh sb="5" eb="7">
      <t>シュトク</t>
    </rPh>
    <phoneticPr fontId="1"/>
  </si>
  <si>
    <t>CPU温度監視周期[s]</t>
    <phoneticPr fontId="1"/>
  </si>
  <si>
    <t>UWF容量取得周期[s]</t>
    <rPh sb="5" eb="7">
      <t>シュトク</t>
    </rPh>
    <phoneticPr fontId="1"/>
  </si>
  <si>
    <t>UWF容量監視周期[s]</t>
    <phoneticPr fontId="1"/>
  </si>
  <si>
    <t>メモリ容量取得周期[s]</t>
    <rPh sb="5" eb="7">
      <t>シュトク</t>
    </rPh>
    <phoneticPr fontId="1"/>
  </si>
  <si>
    <t>メモリ容量監視周期[s]</t>
    <phoneticPr fontId="1"/>
  </si>
  <si>
    <t>CPU使用率取得周期[s]</t>
    <rPh sb="3" eb="5">
      <t>シヨウ</t>
    </rPh>
    <rPh sb="5" eb="6">
      <t>リツ</t>
    </rPh>
    <rPh sb="6" eb="8">
      <t>シュトク</t>
    </rPh>
    <phoneticPr fontId="1"/>
  </si>
  <si>
    <t>CPU使用率監視周期[s]</t>
    <rPh sb="3" eb="5">
      <t>シヨウ</t>
    </rPh>
    <rPh sb="5" eb="6">
      <t>リツ</t>
    </rPh>
    <phoneticPr fontId="1"/>
  </si>
  <si>
    <t>使用するCIFXデバイス種別をシステム固定とし、バージョンアップで変更可能とする
モニタ接続監視周期追加</t>
    <rPh sb="19" eb="21">
      <t>コテイ</t>
    </rPh>
    <rPh sb="33" eb="35">
      <t>ヘンコウ</t>
    </rPh>
    <rPh sb="35" eb="37">
      <t>カノウ</t>
    </rPh>
    <rPh sb="44" eb="46">
      <t>セツゾク</t>
    </rPh>
    <rPh sb="46" eb="48">
      <t>カンシ</t>
    </rPh>
    <rPh sb="48" eb="50">
      <t>シュウキ</t>
    </rPh>
    <rPh sb="50" eb="52">
      <t>ツイカ</t>
    </rPh>
    <phoneticPr fontId="1"/>
  </si>
  <si>
    <t>間は開けてね</t>
    <rPh sb="0" eb="1">
      <t>アイダ</t>
    </rPh>
    <rPh sb="2" eb="3">
      <t>ア</t>
    </rPh>
    <phoneticPr fontId="1"/>
  </si>
  <si>
    <t>DB容量取得周期[s]</t>
    <rPh sb="4" eb="6">
      <t>シュトク</t>
    </rPh>
    <phoneticPr fontId="1"/>
  </si>
  <si>
    <t>出力元リストのカンマ区切りに合わせ、＋で繋ぐこと</t>
    <rPh sb="0" eb="2">
      <t>シュツリョク</t>
    </rPh>
    <rPh sb="2" eb="3">
      <t>モト</t>
    </rPh>
    <rPh sb="10" eb="12">
      <t>クギ</t>
    </rPh>
    <rPh sb="14" eb="15">
      <t>ア</t>
    </rPh>
    <rPh sb="20" eb="21">
      <t>ツナ</t>
    </rPh>
    <phoneticPr fontId="1"/>
  </si>
  <si>
    <t>0x0000002B</t>
    <phoneticPr fontId="1"/>
  </si>
  <si>
    <t>IoTDSログ出力元フィルタ対応ログ対象の取得方法変更</t>
    <rPh sb="21" eb="23">
      <t>シュトク</t>
    </rPh>
    <rPh sb="23" eb="25">
      <t>ホウホウ</t>
    </rPh>
    <rPh sb="25" eb="27">
      <t>ヘンコウ</t>
    </rPh>
    <phoneticPr fontId="1"/>
  </si>
  <si>
    <t>坂上</t>
    <rPh sb="0" eb="2">
      <t>サカウエ</t>
    </rPh>
    <phoneticPr fontId="1"/>
  </si>
  <si>
    <t>NTP NtpServer同期モード</t>
    <rPh sb="13" eb="15">
      <t>ドウキ</t>
    </rPh>
    <phoneticPr fontId="1"/>
  </si>
  <si>
    <t>IOTDS_NTPSERVER_SYNCMODE</t>
    <phoneticPr fontId="1"/>
  </si>
  <si>
    <t>0xF</t>
    <phoneticPr fontId="1"/>
  </si>
  <si>
    <t>0x1　：Symmetric Activeモードで同期／Windowsで実装した一定間隔での同期</t>
  </si>
  <si>
    <t>0x2　：Symmetric Activeモードで同期／フォールバック時に利用するNTPサーバを指定</t>
    <phoneticPr fontId="1"/>
  </si>
  <si>
    <t>0x4　：Symmetric Activeモードで同期／RFC1305に準拠した間隔での同期</t>
    <phoneticPr fontId="1"/>
  </si>
  <si>
    <t>0x8　：Clientモードで同期／RFC1305に準拠した間隔での同期</t>
    <phoneticPr fontId="1"/>
  </si>
  <si>
    <t>同期モードの種類　※それぞれを組み合わせて使用可能</t>
    <phoneticPr fontId="1"/>
  </si>
  <si>
    <t>右参照</t>
    <rPh sb="0" eb="1">
      <t>ミギ</t>
    </rPh>
    <rPh sb="1" eb="3">
      <t>サンショウ</t>
    </rPh>
    <phoneticPr fontId="1"/>
  </si>
  <si>
    <t>0x0</t>
    <phoneticPr fontId="1"/>
  </si>
  <si>
    <t>NTP NtpServer同期モード追加
起動時待ち時間3秒⇒2秒
終了時待ち時間5秒⇒1秒に変更</t>
    <rPh sb="13" eb="15">
      <t>ドウキ</t>
    </rPh>
    <rPh sb="18" eb="20">
      <t>ツイカ</t>
    </rPh>
    <rPh sb="21" eb="23">
      <t>キドウ</t>
    </rPh>
    <rPh sb="23" eb="24">
      <t>ジ</t>
    </rPh>
    <rPh sb="24" eb="25">
      <t>マ</t>
    </rPh>
    <rPh sb="26" eb="28">
      <t>ジカン</t>
    </rPh>
    <rPh sb="29" eb="30">
      <t>ビョウ</t>
    </rPh>
    <rPh sb="32" eb="33">
      <t>ビョウ</t>
    </rPh>
    <rPh sb="34" eb="36">
      <t>シュウリョウ</t>
    </rPh>
    <rPh sb="36" eb="37">
      <t>ジ</t>
    </rPh>
    <rPh sb="37" eb="38">
      <t>マ</t>
    </rPh>
    <rPh sb="39" eb="41">
      <t>ジカン</t>
    </rPh>
    <rPh sb="42" eb="43">
      <t>ビョウ</t>
    </rPh>
    <rPh sb="45" eb="46">
      <t>ビョウ</t>
    </rPh>
    <rPh sb="47" eb="49">
      <t>ヘンコウ</t>
    </rPh>
    <phoneticPr fontId="1"/>
  </si>
  <si>
    <t>0x8</t>
    <phoneticPr fontId="1"/>
  </si>
  <si>
    <t>Windowsのライセンス状態表示をAdministratorも消す</t>
    <rPh sb="32" eb="33">
      <t>ケ</t>
    </rPh>
    <phoneticPr fontId="1"/>
  </si>
  <si>
    <t>終了時待ち時間1秒⇒0秒に変更(V1.2.2)</t>
    <rPh sb="0" eb="2">
      <t>シュウリョウ</t>
    </rPh>
    <rPh sb="2" eb="3">
      <t>ジ</t>
    </rPh>
    <rPh sb="3" eb="4">
      <t>マ</t>
    </rPh>
    <rPh sb="5" eb="7">
      <t>ジカン</t>
    </rPh>
    <rPh sb="8" eb="9">
      <t>ビョウ</t>
    </rPh>
    <rPh sb="11" eb="12">
      <t>ビョウ</t>
    </rPh>
    <rPh sb="13" eb="15">
      <t>ヘンコウ</t>
    </rPh>
    <phoneticPr fontId="1"/>
  </si>
  <si>
    <t>Launcher表示行数変更（V1.2.2RC4)</t>
    <rPh sb="8" eb="10">
      <t>ヒョウジ</t>
    </rPh>
    <rPh sb="10" eb="12">
      <t>ギョウスウ</t>
    </rPh>
    <rPh sb="12" eb="14">
      <t>ヘンコウ</t>
    </rPh>
    <phoneticPr fontId="1"/>
  </si>
  <si>
    <t>LAUNCH_LOG_GETLOGS_MAX_SHORT</t>
    <phoneticPr fontId="1"/>
  </si>
  <si>
    <t>抽出ログスペック切り分け</t>
    <rPh sb="0" eb="2">
      <t>チュウシュツ</t>
    </rPh>
    <rPh sb="8" eb="9">
      <t>キ</t>
    </rPh>
    <rPh sb="10" eb="11">
      <t>ワ</t>
    </rPh>
    <phoneticPr fontId="1"/>
  </si>
  <si>
    <t>0x00000000</t>
    <phoneticPr fontId="1"/>
  </si>
  <si>
    <t>0x00001101</t>
    <phoneticPr fontId="1"/>
  </si>
  <si>
    <t>イーサーネットアダプター終了時UWFチェック</t>
    <rPh sb="12" eb="15">
      <t>シュウリョウジ</t>
    </rPh>
    <phoneticPr fontId="1"/>
  </si>
  <si>
    <t>COM_ETHER_END_UWFCHECK</t>
    <phoneticPr fontId="1"/>
  </si>
  <si>
    <t>イーサーネットアダプター終了時UWFチェック追加</t>
    <rPh sb="12" eb="15">
      <t>シュウリョウジ</t>
    </rPh>
    <rPh sb="22" eb="24">
      <t>ツイカ</t>
    </rPh>
    <phoneticPr fontId="1"/>
  </si>
  <si>
    <t>0x01nn:UWF無効時、0x10nn:UWF有効時、0xnn01:無効制御有、0xnn00:無効制御無し</t>
    <rPh sb="24" eb="26">
      <t>ユウコウ</t>
    </rPh>
    <rPh sb="35" eb="37">
      <t>ムコウ</t>
    </rPh>
    <rPh sb="37" eb="39">
      <t>セイギョ</t>
    </rPh>
    <rPh sb="39" eb="40">
      <t>アリ</t>
    </rPh>
    <rPh sb="48" eb="50">
      <t>ムコウ</t>
    </rPh>
    <rPh sb="50" eb="52">
      <t>セイギョ</t>
    </rPh>
    <rPh sb="52" eb="53">
      <t>ナ</t>
    </rPh>
    <phoneticPr fontId="1"/>
  </si>
  <si>
    <t>IOTDS_DISPLAY_WATCH_INTERVAL</t>
    <phoneticPr fontId="1"/>
  </si>
  <si>
    <t>リモート接続用バージョン追加</t>
    <rPh sb="12" eb="14">
      <t>ツイカ</t>
    </rPh>
    <phoneticPr fontId="1"/>
  </si>
  <si>
    <t>Launcherの設定を戻す（Web仕様）</t>
    <rPh sb="9" eb="11">
      <t>セッテイ</t>
    </rPh>
    <rPh sb="12" eb="13">
      <t>モド</t>
    </rPh>
    <rPh sb="18" eb="20">
      <t>シヨウ</t>
    </rPh>
    <phoneticPr fontId="1"/>
  </si>
  <si>
    <t>IOTDS_REMOTE_VERSION</t>
    <phoneticPr fontId="1"/>
  </si>
  <si>
    <t>リモート接続最大アイドル時間[m]</t>
    <rPh sb="6" eb="8">
      <t>サイダイ</t>
    </rPh>
    <rPh sb="12" eb="14">
      <t>ジカン</t>
    </rPh>
    <phoneticPr fontId="1"/>
  </si>
  <si>
    <t>設定デフォルトはレジの値で15分(900000[ms])</t>
    <rPh sb="0" eb="2">
      <t>セッテイ</t>
    </rPh>
    <rPh sb="11" eb="12">
      <t>アタイ</t>
    </rPh>
    <rPh sb="15" eb="16">
      <t>フン</t>
    </rPh>
    <phoneticPr fontId="1"/>
  </si>
  <si>
    <t>0x0000002C</t>
    <phoneticPr fontId="1"/>
  </si>
  <si>
    <t>0x0000002D</t>
    <phoneticPr fontId="1"/>
  </si>
  <si>
    <t>リモート接続最大アイドル時間
編集権限追加</t>
    <rPh sb="15" eb="17">
      <t>ヘンシュウ</t>
    </rPh>
    <rPh sb="17" eb="19">
      <t>ケンゲン</t>
    </rPh>
    <rPh sb="19" eb="21">
      <t>ツイカ</t>
    </rPh>
    <phoneticPr fontId="1"/>
  </si>
  <si>
    <t>リモート接続サービス停止順</t>
    <rPh sb="10" eb="12">
      <t>テイシ</t>
    </rPh>
    <rPh sb="12" eb="13">
      <t>ジュン</t>
    </rPh>
    <phoneticPr fontId="1"/>
  </si>
  <si>
    <t>リモート接続サービス開始順</t>
    <rPh sb="10" eb="12">
      <t>カイシ</t>
    </rPh>
    <rPh sb="12" eb="13">
      <t>ジュン</t>
    </rPh>
    <phoneticPr fontId="1"/>
  </si>
  <si>
    <t>IOTDS_REMOTE_MAXIDLE_MINUTE</t>
    <phoneticPr fontId="1"/>
  </si>
  <si>
    <t>SessionEnv,UmRdpService,TermService</t>
    <phoneticPr fontId="1"/>
  </si>
  <si>
    <t>IOTDS_REMOTE_SERVICE_ORDER_START</t>
    <phoneticPr fontId="1"/>
  </si>
  <si>
    <t>IOTDS_REMOTE_SERVICE_ORDER_STOP</t>
    <phoneticPr fontId="1"/>
  </si>
  <si>
    <t>SIP_OPT_EXTEND_SERVER_CNCT_ENABLED</t>
    <phoneticPr fontId="1"/>
  </si>
  <si>
    <t>0x0000002E</t>
    <phoneticPr fontId="1"/>
  </si>
  <si>
    <t>SerialIPレジストリに無くてもデータ保存対応</t>
    <rPh sb="14" eb="15">
      <t>ナ</t>
    </rPh>
    <rPh sb="21" eb="23">
      <t>ホゾン</t>
    </rPh>
    <rPh sb="23" eb="25">
      <t>タイオウ</t>
    </rPh>
    <phoneticPr fontId="1"/>
  </si>
  <si>
    <t>のみ後追加設定値のため、未設定は-1）</t>
    <rPh sb="2" eb="3">
      <t>アト</t>
    </rPh>
    <rPh sb="3" eb="5">
      <t>ツイカ</t>
    </rPh>
    <rPh sb="5" eb="8">
      <t>セッテイチ</t>
    </rPh>
    <rPh sb="12" eb="15">
      <t>ミセッテイ</t>
    </rPh>
    <phoneticPr fontId="1"/>
  </si>
  <si>
    <t>イーサネット[1]. WINSアドレス指定(0: 自動取得, 1: アドレス指定)</t>
    <phoneticPr fontId="1"/>
  </si>
  <si>
    <t>COM_ET1_WINS_ADDR_SPEC</t>
    <phoneticPr fontId="1"/>
  </si>
  <si>
    <t>イーサネット[10]. WINSアドレス指定(0: 自動取得, 1: アドレス指定)</t>
    <phoneticPr fontId="1"/>
  </si>
  <si>
    <t>COM_ET10_WINS_ADDR_SPEC</t>
    <phoneticPr fontId="1"/>
  </si>
  <si>
    <t>COM_ET9_WINS_ADDR_SPEC</t>
    <phoneticPr fontId="1"/>
  </si>
  <si>
    <t>イーサネット[9]. WINSアドレス指定(0: 自動取得, 1: アドレス指定)</t>
    <phoneticPr fontId="1"/>
  </si>
  <si>
    <t>イーサネット[8]. WINSアドレス指定(0: 自動取得, 1: アドレス指定)</t>
    <phoneticPr fontId="1"/>
  </si>
  <si>
    <t>COM_ET8_WINS_ADDR_SPEC</t>
    <phoneticPr fontId="1"/>
  </si>
  <si>
    <t>COM_ET7_WINS_ADDR_SPEC</t>
    <phoneticPr fontId="1"/>
  </si>
  <si>
    <t>イーサネット[7]. WINSアドレス指定(0: 自動取得, 1: アドレス指定)</t>
    <phoneticPr fontId="1"/>
  </si>
  <si>
    <t>イーサネット[6]. WINSアドレス指定(0: 自動取得, 1: アドレス指定)</t>
    <phoneticPr fontId="1"/>
  </si>
  <si>
    <t>COM_ET6_WINS_ADDR_SPEC</t>
    <phoneticPr fontId="1"/>
  </si>
  <si>
    <t>COM_ET5_WINS_ADDR_SPEC</t>
    <phoneticPr fontId="1"/>
  </si>
  <si>
    <t>イーサネット[5]. WINSアドレス指定(0: 自動取得, 1: アドレス指定)</t>
    <phoneticPr fontId="1"/>
  </si>
  <si>
    <t>イーサネット[4]. WINSアドレス指定(0: 自動取得, 1: アドレス指定)</t>
    <phoneticPr fontId="1"/>
  </si>
  <si>
    <t>COM_ET4_WINS_ADDR_SPEC</t>
    <phoneticPr fontId="1"/>
  </si>
  <si>
    <t>COM_ET3_WINS_ADDR_SPEC</t>
    <phoneticPr fontId="1"/>
  </si>
  <si>
    <t>イーサネット[3]. WINSアドレス指定(0: 自動取得, 1: アドレス指定)</t>
    <phoneticPr fontId="1"/>
  </si>
  <si>
    <t>COM_ET2_WINS_ADDR_SPEC</t>
    <phoneticPr fontId="1"/>
  </si>
  <si>
    <t>0x0000002F</t>
    <phoneticPr fontId="1"/>
  </si>
  <si>
    <t>イーサネット[2]. WINSアドレス指定(0: 自動取得, 1: アドレス指定)</t>
    <phoneticPr fontId="1"/>
  </si>
  <si>
    <t>WINSアドレス指定(0: 自動取得, 1: アドレス指定)追加</t>
    <rPh sb="8" eb="10">
      <t>シテイ</t>
    </rPh>
    <rPh sb="14" eb="16">
      <t>ジドウ</t>
    </rPh>
    <rPh sb="16" eb="18">
      <t>シュトク</t>
    </rPh>
    <rPh sb="27" eb="29">
      <t>シテイ</t>
    </rPh>
    <rPh sb="30" eb="32">
      <t>ツイカ</t>
    </rPh>
    <phoneticPr fontId="1"/>
  </si>
  <si>
    <t>0x00000030</t>
    <phoneticPr fontId="1"/>
  </si>
  <si>
    <t>権限を変更したため、LancherMenuを削除</t>
    <rPh sb="0" eb="2">
      <t>ケンゲン</t>
    </rPh>
    <rPh sb="3" eb="5">
      <t>ヘンコウ</t>
    </rPh>
    <rPh sb="22" eb="24">
      <t>サクジョ</t>
    </rPh>
    <phoneticPr fontId="1"/>
  </si>
  <si>
    <t>筒井</t>
    <rPh sb="0" eb="2">
      <t>ツツイ</t>
    </rPh>
    <phoneticPr fontId="1"/>
  </si>
  <si>
    <t>SMB v1の有効・無効を切り替え追加（IOTDS_ENABLE_SMB1_PROTOCOL）</t>
    <rPh sb="17" eb="19">
      <t>ツイカ</t>
    </rPh>
    <phoneticPr fontId="1"/>
  </si>
  <si>
    <t>0x00000031</t>
    <phoneticPr fontId="1"/>
  </si>
  <si>
    <t>0x00000032</t>
    <phoneticPr fontId="1"/>
  </si>
  <si>
    <t>上記SMB v1追加ミスのため、再度追加</t>
    <rPh sb="0" eb="2">
      <t>ジョウキ</t>
    </rPh>
    <rPh sb="8" eb="10">
      <t>ツイカ</t>
    </rPh>
    <rPh sb="16" eb="18">
      <t>サイド</t>
    </rPh>
    <rPh sb="18" eb="20">
      <t>ツイカ</t>
    </rPh>
    <phoneticPr fontId="1"/>
  </si>
  <si>
    <t>SMB v1 プロトコル有効フラグ(0:無効|1:有効)</t>
    <rPh sb="12" eb="14">
      <t>ユウコウ</t>
    </rPh>
    <phoneticPr fontId="1"/>
  </si>
  <si>
    <t>IOTDS_BACKUP_DB_PATH</t>
    <phoneticPr fontId="1"/>
  </si>
  <si>
    <t>IOTDS_BACKUP_DATAVIEW_API</t>
    <phoneticPr fontId="1"/>
  </si>
  <si>
    <t>IOTDS_BACKUP_DATAVIEW_API_USE</t>
    <phoneticPr fontId="1"/>
  </si>
  <si>
    <t>IOTDS_RESTORE_DATAVIEW_API_USE</t>
    <phoneticPr fontId="1"/>
  </si>
  <si>
    <t>未使用時ファイルコピー</t>
    <rPh sb="0" eb="4">
      <t>ミシヨウジ</t>
    </rPh>
    <phoneticPr fontId="1"/>
  </si>
  <si>
    <t>IOTDS_RESTORE_DATAVIEW_API</t>
    <phoneticPr fontId="1"/>
  </si>
  <si>
    <t>http://localhost/view/api/FT/Restore?path=</t>
    <phoneticPr fontId="1"/>
  </si>
  <si>
    <t>http://localhost/view/api/FT/Backup?path=</t>
    <phoneticPr fontId="1"/>
  </si>
  <si>
    <t>IOTDS_BACKUP_DATAVIEW_API_TIMEOUT</t>
    <phoneticPr fontId="1"/>
  </si>
  <si>
    <t>IOTDS_RESTORE_DATAVIEW_API_TIMEOUT</t>
    <phoneticPr fontId="1"/>
  </si>
  <si>
    <t>Data View バックアップ API使用フラグ(0:未使用|1:使用)</t>
    <rPh sb="20" eb="22">
      <t>シヨウ</t>
    </rPh>
    <rPh sb="28" eb="31">
      <t>ミシヨウ</t>
    </rPh>
    <rPh sb="34" eb="36">
      <t>シヨウ</t>
    </rPh>
    <phoneticPr fontId="1"/>
  </si>
  <si>
    <t>Data View バックアップ APIコマンド</t>
    <phoneticPr fontId="1"/>
  </si>
  <si>
    <t>Data View バックアップ APIタイムアウト(msec)</t>
    <phoneticPr fontId="1"/>
  </si>
  <si>
    <t>Data View リストア API使用フラグ(0:未使用|1:使用)</t>
    <rPh sb="18" eb="20">
      <t>シヨウ</t>
    </rPh>
    <rPh sb="26" eb="29">
      <t>ミシヨウ</t>
    </rPh>
    <rPh sb="32" eb="34">
      <t>シヨウ</t>
    </rPh>
    <phoneticPr fontId="1"/>
  </si>
  <si>
    <t>Data View リストア APIコマンド</t>
    <phoneticPr fontId="1"/>
  </si>
  <si>
    <t>Data View リストア APIタイムアウト(msec)</t>
    <phoneticPr fontId="1"/>
  </si>
  <si>
    <t>DataViewデータバックアップ／リストア設定追加(API未使用設定)</t>
    <rPh sb="22" eb="24">
      <t>セッテイ</t>
    </rPh>
    <rPh sb="24" eb="26">
      <t>ツイカ</t>
    </rPh>
    <rPh sb="30" eb="33">
      <t>ミシヨウ</t>
    </rPh>
    <rPh sb="33" eb="35">
      <t>セッテイ</t>
    </rPh>
    <phoneticPr fontId="1"/>
  </si>
  <si>
    <t>DataViewデータバックアップ／リストア設定API使用に変更
Restore設定のタイムアウトを1分から5分に変更</t>
    <rPh sb="27" eb="29">
      <t>シヨウ</t>
    </rPh>
    <rPh sb="30" eb="32">
      <t>ヘンコウ</t>
    </rPh>
    <phoneticPr fontId="1"/>
  </si>
  <si>
    <t>0x00000033</t>
    <phoneticPr fontId="1"/>
  </si>
  <si>
    <t>フォントサイズ保存</t>
    <rPh sb="7" eb="9">
      <t>ホゾン</t>
    </rPh>
    <phoneticPr fontId="1"/>
  </si>
  <si>
    <t>LAUNCH_LOG_FONTSIZE</t>
    <phoneticPr fontId="1"/>
  </si>
  <si>
    <t>LAUNCH_PROJECTLIST_FONTSIZE</t>
    <phoneticPr fontId="1"/>
  </si>
  <si>
    <t>ログ（Windows・デバッグ共通）表示サイズ(小:0、中:1、大:2)</t>
    <rPh sb="15" eb="17">
      <t>キョウツウ</t>
    </rPh>
    <rPh sb="18" eb="20">
      <t>ヒョウジ</t>
    </rPh>
    <rPh sb="24" eb="25">
      <t>ショウ</t>
    </rPh>
    <rPh sb="28" eb="29">
      <t>ナカ</t>
    </rPh>
    <rPh sb="32" eb="33">
      <t>ダイ</t>
    </rPh>
    <phoneticPr fontId="1"/>
  </si>
  <si>
    <t>プロジェクトリスト表示サイズ(小:0、中:1、大:2)</t>
    <rPh sb="9" eb="11">
      <t>ヒョウジ</t>
    </rPh>
    <phoneticPr fontId="1"/>
  </si>
  <si>
    <t>フォントサイズデフォルトを「中」</t>
    <rPh sb="14" eb="15">
      <t>ナカ</t>
    </rPh>
    <phoneticPr fontId="1"/>
  </si>
  <si>
    <t>COM_ET1_TWINCAT_PROTOCOL</t>
    <phoneticPr fontId="1"/>
  </si>
  <si>
    <t>COM_ET2_TWINCAT_PROTOCOL</t>
    <phoneticPr fontId="1"/>
  </si>
  <si>
    <t>COM_ET3_TWINCAT_PROTOCOL</t>
    <phoneticPr fontId="1"/>
  </si>
  <si>
    <t>COM_ET4_TWINCAT_PROTOCOL</t>
    <phoneticPr fontId="1"/>
  </si>
  <si>
    <t>COM_ET5_TWINCAT_PROTOCOL</t>
    <phoneticPr fontId="1"/>
  </si>
  <si>
    <t>COM_ET6_TWINCAT_PROTOCOL</t>
    <phoneticPr fontId="1"/>
  </si>
  <si>
    <t>COM_ET7_TWINCAT_PROTOCOL</t>
    <phoneticPr fontId="1"/>
  </si>
  <si>
    <t>COM_ET8_TWINCAT_PROTOCOL</t>
    <phoneticPr fontId="1"/>
  </si>
  <si>
    <t>COM_ET9_TWINCAT_PROTOCOL</t>
    <phoneticPr fontId="1"/>
  </si>
  <si>
    <t>COM_ET10_TWINCAT_PROTOCOL</t>
    <phoneticPr fontId="1"/>
  </si>
  <si>
    <t>0x00000034</t>
    <phoneticPr fontId="1"/>
  </si>
  <si>
    <t>イーサネット1-10に TwinCAT Ethernet Protocol有効 (0: 無効, 1: 有効)追加</t>
    <rPh sb="54" eb="56">
      <t>ツイカ</t>
    </rPh>
    <phoneticPr fontId="1"/>
  </si>
  <si>
    <t>View Browserユーザー情報(IoT Data Server V1.1.0まで)</t>
    <rPh sb="16" eb="18">
      <t>ジョウホウ</t>
    </rPh>
    <phoneticPr fontId="1"/>
  </si>
  <si>
    <t>View Editorユーザー情報(IoT Data Server V1.1.0まで)</t>
    <rPh sb="15" eb="17">
      <t>ジョウホウ</t>
    </rPh>
    <phoneticPr fontId="1"/>
  </si>
  <si>
    <t>View Editorユーザー初期パスワード(IoT Data Server V1.1.0まで)</t>
    <rPh sb="15" eb="17">
      <t>ショキ</t>
    </rPh>
    <phoneticPr fontId="1"/>
  </si>
  <si>
    <t>View Browserユーザー初期パスワード(IoT Data Server V1.1.0まで)</t>
    <rPh sb="16" eb="18">
      <t>ショキ</t>
    </rPh>
    <phoneticPr fontId="1"/>
  </si>
  <si>
    <t>LAUNCH_LOG_SRC_LIST_SHORT</t>
    <phoneticPr fontId="1"/>
  </si>
  <si>
    <t>LAUNCH_LOG_SRC_LIST_TARGET_SHORT</t>
    <phoneticPr fontId="1"/>
  </si>
  <si>
    <t>IoTDSログ出力元フィルタ(低スペックPC)</t>
    <rPh sb="7" eb="9">
      <t>シュツリョク</t>
    </rPh>
    <rPh sb="9" eb="10">
      <t>モト</t>
    </rPh>
    <rPh sb="15" eb="16">
      <t>テイ</t>
    </rPh>
    <phoneticPr fontId="1"/>
  </si>
  <si>
    <t>IoTDSログ取得行数(低スペックPC)</t>
    <rPh sb="7" eb="9">
      <t>シュトク</t>
    </rPh>
    <rPh sb="9" eb="11">
      <t>ギョウスウ</t>
    </rPh>
    <phoneticPr fontId="1"/>
  </si>
  <si>
    <t>IoTDSログ出力元フィルタ対応ログ対象(低スペックPC)</t>
    <rPh sb="7" eb="9">
      <t>シュツリョク</t>
    </rPh>
    <rPh sb="9" eb="10">
      <t>モト</t>
    </rPh>
    <rPh sb="14" eb="16">
      <t>タイオウ</t>
    </rPh>
    <rPh sb="18" eb="20">
      <t>タイショウ</t>
    </rPh>
    <phoneticPr fontId="1"/>
  </si>
  <si>
    <t>Windowsログ出力元フィルタ</t>
    <rPh sb="9" eb="11">
      <t>シュツリョク</t>
    </rPh>
    <rPh sb="11" eb="12">
      <t>モト</t>
    </rPh>
    <phoneticPr fontId="1"/>
  </si>
  <si>
    <t>IoTDSログ出力元フィルタ</t>
    <rPh sb="7" eb="9">
      <t>シュツリョク</t>
    </rPh>
    <rPh sb="9" eb="10">
      <t>モト</t>
    </rPh>
    <phoneticPr fontId="1"/>
  </si>
  <si>
    <t>IoTDSログレベル</t>
    <phoneticPr fontId="1"/>
  </si>
  <si>
    <t>ViewEditor、ViewBrowserユーザにV1.1.0.0までの仕様というコメント追加、ロジックを残すためユーザを追加されてもいいよう設定のみ追加
ログフィルタのIoT Data Viewを切出しとOPC DA 削除と、低スペック版と切り分け</t>
    <rPh sb="37" eb="39">
      <t>シヨウ</t>
    </rPh>
    <rPh sb="46" eb="48">
      <t>ツイカ</t>
    </rPh>
    <rPh sb="54" eb="55">
      <t>ノコ</t>
    </rPh>
    <rPh sb="62" eb="64">
      <t>ツイカ</t>
    </rPh>
    <rPh sb="72" eb="74">
      <t>セッテイ</t>
    </rPh>
    <rPh sb="76" eb="78">
      <t>ツイカ</t>
    </rPh>
    <rPh sb="115" eb="116">
      <t>テイ</t>
    </rPh>
    <rPh sb="120" eb="121">
      <t>バン</t>
    </rPh>
    <rPh sb="122" eb="123">
      <t>キ</t>
    </rPh>
    <rPh sb="124" eb="125">
      <t>ワ</t>
    </rPh>
    <phoneticPr fontId="1"/>
  </si>
  <si>
    <t>ユーザー名を設定(追加時設定)</t>
    <rPh sb="4" eb="5">
      <t>メイ</t>
    </rPh>
    <rPh sb="6" eb="8">
      <t>セッテイ</t>
    </rPh>
    <rPh sb="9" eb="11">
      <t>ツイカ</t>
    </rPh>
    <rPh sb="11" eb="12">
      <t>ジ</t>
    </rPh>
    <rPh sb="12" eb="14">
      <t>セッテイ</t>
    </rPh>
    <phoneticPr fontId="1"/>
  </si>
  <si>
    <t>パスワードを暗号化し設定(追加時設定)</t>
    <rPh sb="6" eb="9">
      <t>アンゴウカ</t>
    </rPh>
    <rPh sb="10" eb="12">
      <t>セッテイ</t>
    </rPh>
    <phoneticPr fontId="1"/>
  </si>
  <si>
    <t>ユーザー名を設定(追加時設定)</t>
    <rPh sb="4" eb="5">
      <t>メイ</t>
    </rPh>
    <rPh sb="6" eb="8">
      <t>セッテイ</t>
    </rPh>
    <phoneticPr fontId="1"/>
  </si>
  <si>
    <t>IOTDS_WINDOWSUSER1_INFO</t>
    <phoneticPr fontId="1"/>
  </si>
  <si>
    <t>IOTDS_WINDOWSUSER2_INFO</t>
    <phoneticPr fontId="1"/>
  </si>
  <si>
    <t>Windowsユーザー1情報</t>
    <rPh sb="12" eb="14">
      <t>ジョウホウ</t>
    </rPh>
    <phoneticPr fontId="1"/>
  </si>
  <si>
    <t>Windowsユーザー1初期パスワード</t>
    <rPh sb="12" eb="14">
      <t>ショキ</t>
    </rPh>
    <phoneticPr fontId="1"/>
  </si>
  <si>
    <t>Windowsユーザー2情報</t>
    <rPh sb="12" eb="14">
      <t>ジョウホウ</t>
    </rPh>
    <phoneticPr fontId="1"/>
  </si>
  <si>
    <t>Windowsユーザー4初期パスワード</t>
    <rPh sb="12" eb="14">
      <t>ショキ</t>
    </rPh>
    <phoneticPr fontId="1"/>
  </si>
  <si>
    <t>Windowsユーザー4情報</t>
    <rPh sb="12" eb="14">
      <t>ジョウホウ</t>
    </rPh>
    <phoneticPr fontId="1"/>
  </si>
  <si>
    <t>Windowsユーザー2初期パスワード</t>
    <rPh sb="12" eb="14">
      <t>ショキ</t>
    </rPh>
    <phoneticPr fontId="1"/>
  </si>
  <si>
    <t>Windowsユーザー3情報</t>
    <rPh sb="12" eb="14">
      <t>ジョウホウ</t>
    </rPh>
    <phoneticPr fontId="1"/>
  </si>
  <si>
    <t>Windowsユーザー3初期パスワード</t>
    <rPh sb="12" eb="14">
      <t>ショキ</t>
    </rPh>
    <phoneticPr fontId="1"/>
  </si>
  <si>
    <t>IOTDS_WINDOWSUSER3_INFO</t>
    <phoneticPr fontId="1"/>
  </si>
  <si>
    <t>IOTDS_WINDOWSUSER4_INFO</t>
    <phoneticPr fontId="1"/>
  </si>
  <si>
    <t>IOTDS_WINDOWSUSER4_INIT_PASSWD</t>
    <phoneticPr fontId="1"/>
  </si>
  <si>
    <t>IOTDS_WINDOWSUSER3_INIT_PASSWD</t>
    <phoneticPr fontId="1"/>
  </si>
  <si>
    <t>IOTDS_WINDOWSUSER2_INIT_PASSWD</t>
    <phoneticPr fontId="1"/>
  </si>
  <si>
    <t>IOTDS_WINDOWSUSER1_INIT_PASSWD</t>
    <phoneticPr fontId="1"/>
  </si>
  <si>
    <t>Windows共有ユーザー情報(IoT Data Server V1.1.0まで)</t>
    <rPh sb="7" eb="9">
      <t>キョウユウ</t>
    </rPh>
    <rPh sb="13" eb="15">
      <t>ジョウホウ</t>
    </rPh>
    <phoneticPr fontId="1"/>
  </si>
  <si>
    <t>Windows共有ユーザ初期パスワード(IoT Data Server V1.1.0まで)</t>
    <rPh sb="7" eb="9">
      <t>キョウユウ</t>
    </rPh>
    <rPh sb="12" eb="14">
      <t>ショキ</t>
    </rPh>
    <phoneticPr fontId="1"/>
  </si>
  <si>
    <t>FTPユーザー情報(IoT Data Server V1.1.0まで)</t>
    <rPh sb="7" eb="9">
      <t>ジョウホウ</t>
    </rPh>
    <phoneticPr fontId="1"/>
  </si>
  <si>
    <t>FTPユーザー初期パスワード(IoT Data Server V1.1.0まで)</t>
    <rPh sb="7" eb="9">
      <t>ショキ</t>
    </rPh>
    <phoneticPr fontId="1"/>
  </si>
  <si>
    <t>IOTDS_ENABLE_SMB1_PROTOCOL</t>
    <phoneticPr fontId="1"/>
  </si>
  <si>
    <t>TwinCAT設定ユーザ</t>
    <phoneticPr fontId="1"/>
  </si>
  <si>
    <t>IOTDS_TWINCAT_SETTING_USER</t>
    <phoneticPr fontId="1"/>
  </si>
  <si>
    <t>UPS設定ファイルパス（UPSメーカーOMRON)</t>
    <rPh sb="3" eb="5">
      <t>セッテイ</t>
    </rPh>
    <phoneticPr fontId="1"/>
  </si>
  <si>
    <t>UPS_OMRON_CONF_FILEPATH</t>
    <phoneticPr fontId="1"/>
  </si>
  <si>
    <t>C:\Program Files (x86)\Simple Shutdown\Shutdown.ini</t>
    <phoneticPr fontId="1"/>
  </si>
  <si>
    <t>OMRONのUPS場合　設定ファイルのパス</t>
    <rPh sb="9" eb="11">
      <t>バアイ</t>
    </rPh>
    <rPh sb="12" eb="14">
      <t>セッテイ</t>
    </rPh>
    <phoneticPr fontId="1"/>
  </si>
  <si>
    <t>OMRON UPS 設定ファイルパス追加</t>
    <rPh sb="10" eb="12">
      <t>セッテイ</t>
    </rPh>
    <rPh sb="18" eb="20">
      <t>ツイカ</t>
    </rPh>
    <phoneticPr fontId="1"/>
  </si>
  <si>
    <t>坂上</t>
    <rPh sb="0" eb="2">
      <t>サカウエ</t>
    </rPh>
    <phoneticPr fontId="1"/>
  </si>
  <si>
    <t>イーサネット[1]. TwinCAT Ethernet Protocol有効 (0: 無効, 1: 有効, -1: 未使用)</t>
    <rPh sb="58" eb="61">
      <t>ミシヨウ</t>
    </rPh>
    <phoneticPr fontId="1"/>
  </si>
  <si>
    <t>イーサネット[2]. TwinCAT Ethernet Protocol有効 (0: 無効, 1: 有効, -1: 未使用)</t>
  </si>
  <si>
    <t>イーサネット[3]. TwinCAT Ethernet Protocol有効 (0: 無効, 1: 有効, -1: 未使用)</t>
  </si>
  <si>
    <t>イーサネット[4]. TwinCAT Ethernet Protocol有効 (0: 無効, 1: 有効, -1: 未使用)</t>
  </si>
  <si>
    <t>イーサネット[5]. TwinCAT Ethernet Protocol有効 (0: 無効, 1: 有効, -1: 未使用)</t>
  </si>
  <si>
    <t>イーサネット[6]. TwinCAT Ethernet Protocol有効 (0: 無効, 1: 有効, -1: 未使用)</t>
  </si>
  <si>
    <t>イーサネット[7]. TwinCAT Ethernet Protocol有効 (0: 無効, 1: 有効, -1: 未使用)</t>
  </si>
  <si>
    <t>イーサネット[8]. TwinCAT Ethernet Protocol有効 (0: 無効, 1: 有効, -1: 未使用)</t>
  </si>
  <si>
    <t>イーサネット[9]. TwinCAT Ethernet Protocol有効 (0: 無効, 1: 有効, -1: 未使用)</t>
  </si>
  <si>
    <t>イーサネット[10]. TwinCAT Ethernet Protocol有効 (0: 無効, 1: 有効, -1: 未使用)</t>
  </si>
  <si>
    <t>Beckhoff以外の筐体未使用</t>
    <rPh sb="8" eb="10">
      <t>イガイ</t>
    </rPh>
    <rPh sb="11" eb="13">
      <t>キョウタイ</t>
    </rPh>
    <rPh sb="13" eb="16">
      <t>ミシヨウ</t>
    </rPh>
    <phoneticPr fontId="1"/>
  </si>
  <si>
    <t>保存しない</t>
    <rPh sb="0" eb="2">
      <t>ホゾン</t>
    </rPh>
    <phoneticPr fontId="1"/>
  </si>
  <si>
    <t>IOTDS_TWINCAT_SETTING_USER_PASSWD</t>
    <phoneticPr fontId="1"/>
  </si>
  <si>
    <t>TwinCAT設定ユーザ有効フラグ(0:無効|1:有効)</t>
    <rPh sb="12" eb="14">
      <t>ユウコウ</t>
    </rPh>
    <phoneticPr fontId="1"/>
  </si>
  <si>
    <t>IOTDS_TWINCAT_SETTING_USER_ENABLE</t>
    <phoneticPr fontId="1"/>
  </si>
  <si>
    <t>TwinCAT設定ユーザ追加
IOTDS_TWINCAT_SETTING_USER_ENABLE
IOTDS_TWINCAT_SETTING_USER
IOTDS_TWINCAT_SETTING_USER_PASSWD</t>
    <rPh sb="12" eb="14">
      <t>ツイカ</t>
    </rPh>
    <phoneticPr fontId="1"/>
  </si>
  <si>
    <t>0x0040</t>
    <phoneticPr fontId="1"/>
  </si>
  <si>
    <t>0x0070</t>
    <phoneticPr fontId="1"/>
  </si>
  <si>
    <t>0x0050</t>
    <phoneticPr fontId="1"/>
  </si>
  <si>
    <t>0x0080</t>
    <phoneticPr fontId="1"/>
  </si>
  <si>
    <t>DeviceNet Slave, DeviceNet Master</t>
    <phoneticPr fontId="1"/>
  </si>
  <si>
    <t>EtherNet/IP Adapter, PROFINET IO Device, EtherCAT Slave</t>
    <phoneticPr fontId="1"/>
  </si>
  <si>
    <t>CIFX_x_FIRMWARE</t>
    <phoneticPr fontId="1"/>
  </si>
  <si>
    <t>UPS_MAKER_INITSEL_VENDOR1</t>
    <phoneticPr fontId="1"/>
  </si>
  <si>
    <t>UPS_MAKER_INITSEL_VENDOR2</t>
    <phoneticPr fontId="1"/>
  </si>
  <si>
    <t>UPS_MAKER_INITSEL_VENDOR3</t>
    <phoneticPr fontId="1"/>
  </si>
  <si>
    <t>UPS_CONNECT_INITSEL_VENDOR1</t>
    <phoneticPr fontId="1"/>
  </si>
  <si>
    <t>UPS_CONNECT_INITSEL_VENDOR2</t>
    <phoneticPr fontId="1"/>
  </si>
  <si>
    <t>UPS_CONNECT_INITSEL_VENDOR3</t>
    <phoneticPr fontId="1"/>
  </si>
  <si>
    <t>CIFX_USE_DEVICE_VENDOR2</t>
    <phoneticPr fontId="1"/>
  </si>
  <si>
    <t>CIFX_USE_DEVICE_VENDOR3</t>
    <phoneticPr fontId="1"/>
  </si>
  <si>
    <t>CIFX_USE_DEVICE_VENDOR1</t>
    <phoneticPr fontId="1"/>
  </si>
  <si>
    <t>UPS_CONNECT_LIST_VENDOR2</t>
    <phoneticPr fontId="1"/>
  </si>
  <si>
    <t>UPS_CONNECT_LIST_VENDOR3</t>
    <phoneticPr fontId="1"/>
  </si>
  <si>
    <t>Hilscher CIFX使用デバイス設定を無しに設定
VENDER綴りをVENDORに変更</t>
    <rPh sb="13" eb="15">
      <t>シヨウ</t>
    </rPh>
    <rPh sb="19" eb="21">
      <t>セッテイ</t>
    </rPh>
    <rPh sb="22" eb="23">
      <t>ナ</t>
    </rPh>
    <rPh sb="25" eb="27">
      <t>セッテイ</t>
    </rPh>
    <rPh sb="34" eb="35">
      <t>ツヅ</t>
    </rPh>
    <rPh sb="44" eb="46">
      <t>ヘンコウ</t>
    </rPh>
    <phoneticPr fontId="1"/>
  </si>
  <si>
    <t>←IoTDataStudioのファイルから構築するV1.2以降</t>
    <rPh sb="21" eb="23">
      <t>コウチク</t>
    </rPh>
    <rPh sb="29" eb="31">
      <t>イコウ</t>
    </rPh>
    <phoneticPr fontId="1"/>
  </si>
  <si>
    <t>タイムゾーン範囲を[-4000]に変更（Windows7とWindows10で異なる）</t>
    <rPh sb="6" eb="8">
      <t>ハンイ</t>
    </rPh>
    <rPh sb="17" eb="19">
      <t>ヘンコウ</t>
    </rPh>
    <rPh sb="39" eb="40">
      <t>コト</t>
    </rPh>
    <phoneticPr fontId="1"/>
  </si>
  <si>
    <t>坂上</t>
    <rPh sb="0" eb="2">
      <t>サカウエ</t>
    </rPh>
    <phoneticPr fontId="1"/>
  </si>
  <si>
    <t>「,」区切りで「%IOTDSUPDATE%」「IOTDSHARE」検索</t>
    <rPh sb="33" eb="35">
      <t>ケンサク</t>
    </rPh>
    <phoneticPr fontId="1"/>
  </si>
  <si>
    <t>IoTDataShare名称変更の互換性保持のため削除</t>
    <rPh sb="12" eb="14">
      <t>メイショウ</t>
    </rPh>
    <rPh sb="14" eb="16">
      <t>ヘンコウ</t>
    </rPh>
    <rPh sb="17" eb="20">
      <t>ゴカンセイ</t>
    </rPh>
    <rPh sb="20" eb="22">
      <t>ホジ</t>
    </rPh>
    <rPh sb="25" eb="27">
      <t>サクジョ</t>
    </rPh>
    <phoneticPr fontId="1"/>
  </si>
  <si>
    <t>IoT Data Server,IoT Data Share,IoT Data View,ORiN,OPC UA</t>
    <phoneticPr fontId="1"/>
  </si>
  <si>
    <t>IoT Data Server,IoT Data Share,ORiN,OPC UA</t>
    <phoneticPr fontId="1"/>
  </si>
  <si>
    <t>0x00000035</t>
    <phoneticPr fontId="1"/>
  </si>
  <si>
    <t>0x00000036</t>
    <phoneticPr fontId="1"/>
  </si>
  <si>
    <t>IoTDataShareに名称変更</t>
    <rPh sb="13" eb="15">
      <t>メイショウ</t>
    </rPh>
    <rPh sb="15" eb="17">
      <t>ヘンコウ</t>
    </rPh>
    <phoneticPr fontId="1"/>
  </si>
  <si>
    <t>起動時ダッシュボード表示</t>
    <rPh sb="0" eb="2">
      <t>キドウ</t>
    </rPh>
    <rPh sb="2" eb="3">
      <t>ジ</t>
    </rPh>
    <rPh sb="10" eb="12">
      <t>ヒョウジ</t>
    </rPh>
    <phoneticPr fontId="1"/>
  </si>
  <si>
    <t>LAUNCH_START_TOP_DASHBOARD</t>
    <phoneticPr fontId="1"/>
  </si>
  <si>
    <t>IoT Data Server+IoTDSLauncher+IoTDSCore+IoTDSAdmin,IoT Data Share+IoTDSManager+IoTDSManagerCOM+File Transfer Plugin+File Transfer Tool+IoT Data Share : Manager Console,IoT Data View,CAO+CaoSQL,CaoOPCUA</t>
    <phoneticPr fontId="1"/>
  </si>
  <si>
    <t>IoT Data Server+IoTDSLauncher+IoTDSCore+IoTDSAdmin,IoT Data Share+IoTDSManager+IoTDSManagerCOM+File Transfer Plugin+File Transfer Tool+IoT Data Share : Manager Console,CAO+CaoSQL,CaoOPCUA</t>
    <phoneticPr fontId="1"/>
  </si>
  <si>
    <t>起動時ダッシュボード表示設定追加</t>
    <rPh sb="12" eb="14">
      <t>セッテイ</t>
    </rPh>
    <rPh sb="14" eb="16">
      <t>ツイカ</t>
    </rPh>
    <phoneticPr fontId="1"/>
  </si>
  <si>
    <t>0x00000037</t>
    <phoneticPr fontId="1"/>
  </si>
  <si>
    <t>IOTDS_REMOTE_VERSION を1.1.0に変更</t>
    <rPh sb="28" eb="30">
      <t>ヘンコウ</t>
    </rPh>
    <phoneticPr fontId="1"/>
  </si>
  <si>
    <t>IOTDS_REMOTE_VERSION を1.0.1に変更</t>
    <phoneticPr fontId="1"/>
  </si>
  <si>
    <t>山内</t>
    <rPh sb="0" eb="2">
      <t>ヤマウチ</t>
    </rPh>
    <phoneticPr fontId="1"/>
  </si>
  <si>
    <t>イーサーネットアダプタードライバ変更時のTwinCAT モード変更待ち時間</t>
    <rPh sb="16" eb="18">
      <t>ヘンコウ</t>
    </rPh>
    <rPh sb="18" eb="19">
      <t>ジ</t>
    </rPh>
    <rPh sb="31" eb="33">
      <t>ヘンコウ</t>
    </rPh>
    <rPh sb="33" eb="34">
      <t>マ</t>
    </rPh>
    <rPh sb="35" eb="37">
      <t>ジカン</t>
    </rPh>
    <phoneticPr fontId="1"/>
  </si>
  <si>
    <t>TwinCAT設定ユーザパスワード</t>
    <phoneticPr fontId="1"/>
  </si>
  <si>
    <t>TwinCATモード変更後待ち時間</t>
    <rPh sb="10" eb="12">
      <t>ヘンコウ</t>
    </rPh>
    <rPh sb="12" eb="13">
      <t>ゴ</t>
    </rPh>
    <rPh sb="13" eb="14">
      <t>マ</t>
    </rPh>
    <rPh sb="15" eb="17">
      <t>ジカン</t>
    </rPh>
    <phoneticPr fontId="1"/>
  </si>
  <si>
    <t>IOTDS_TWINCAT_RUNMODE_SET_AFTER_WAIT</t>
    <phoneticPr fontId="1"/>
  </si>
  <si>
    <t>COM_TWINCAT_DRIVER_CHANGE_WAIT</t>
    <phoneticPr fontId="1"/>
  </si>
  <si>
    <t>イーサーネットアダプタードライバ変更時の完了待ち時間</t>
    <rPh sb="16" eb="18">
      <t>ヘンコウ</t>
    </rPh>
    <rPh sb="18" eb="19">
      <t>ジ</t>
    </rPh>
    <rPh sb="20" eb="22">
      <t>カンリョウ</t>
    </rPh>
    <rPh sb="22" eb="23">
      <t>フケマ</t>
    </rPh>
    <rPh sb="23" eb="24">
      <t>フケマ</t>
    </rPh>
    <rPh sb="24" eb="26">
      <t>ジカン</t>
    </rPh>
    <phoneticPr fontId="1"/>
  </si>
  <si>
    <t>DENSO WAVE Active USB-COM Port</t>
    <phoneticPr fontId="1"/>
  </si>
  <si>
    <t>UPS_CONNECT_LIST_EXCLUSION</t>
    <phoneticPr fontId="1"/>
  </si>
  <si>
    <t>UPS_CONNECT_LIST_VENDOR1</t>
    <phoneticPr fontId="1"/>
  </si>
  <si>
    <t>UPS_APC_TYPE_USE_CONNECT</t>
    <phoneticPr fontId="1"/>
  </si>
  <si>
    <t>UPS接続種別除外デバイス（説明一致を除外）</t>
    <rPh sb="3" eb="5">
      <t>セツゾク</t>
    </rPh>
    <rPh sb="5" eb="7">
      <t>シュベツ</t>
    </rPh>
    <rPh sb="7" eb="9">
      <t>ジョガイ</t>
    </rPh>
    <rPh sb="16" eb="18">
      <t>イッチ</t>
    </rPh>
    <rPh sb="19" eb="21">
      <t>ジョガイ</t>
    </rPh>
    <phoneticPr fontId="1"/>
  </si>
  <si>
    <t>USB COMPort　表示対応
「UPS接続種別リスト（各ベンダ）」修正、
「UPS接続種別除外デバイス（説明一致を除外）」追加</t>
    <rPh sb="12" eb="14">
      <t>ヒョウジ</t>
    </rPh>
    <rPh sb="14" eb="16">
      <t>タイオウ</t>
    </rPh>
    <rPh sb="29" eb="30">
      <t>カク</t>
    </rPh>
    <rPh sb="35" eb="37">
      <t>シュウセイ</t>
    </rPh>
    <rPh sb="63" eb="65">
      <t>ツイカ</t>
    </rPh>
    <phoneticPr fontId="1"/>
  </si>
  <si>
    <t>COM1,COM2,COM3,COM4,COM5,COM6,COM7,COM8,COM9,COM10,COM11,COM12,COM13,COM14</t>
    <phoneticPr fontId="1"/>
  </si>
  <si>
    <t>COM1,COM2,COM3,COM4,COM5,COM6,COM7,COM8,COM9,COM10,COM11,COM12,COM13,COM14,USB</t>
    <phoneticPr fontId="1"/>
  </si>
  <si>
    <t>COM1,COM2,COM3,COM5,COM6,COM7,COM8,COM9,COM10,COM11,COM12,COM13,COM14,USB</t>
    <phoneticPr fontId="1"/>
  </si>
  <si>
    <t>0x00000038</t>
    <phoneticPr fontId="1"/>
  </si>
  <si>
    <t>Firewallタブ追加</t>
    <rPh sb="10" eb="12">
      <t>ツイカ</t>
    </rPh>
    <phoneticPr fontId="1"/>
  </si>
  <si>
    <t>Firewall</t>
    <phoneticPr fontId="1"/>
  </si>
  <si>
    <t>Firewall</t>
    <phoneticPr fontId="1"/>
  </si>
  <si>
    <t>Firewall 設定対象 1</t>
  </si>
  <si>
    <t>Firewall 設定対象 2</t>
  </si>
  <si>
    <t>Firewall 設定対象 3</t>
  </si>
  <si>
    <t>Firewall 設定対象 4</t>
  </si>
  <si>
    <t>Firewall 設定対象 5</t>
  </si>
  <si>
    <t>Firewall 設定対象 6</t>
  </si>
  <si>
    <t>Firewall 設定対象 7</t>
  </si>
  <si>
    <t>Firewall 設定対象 8</t>
  </si>
  <si>
    <t>Firewall 設定対象 9</t>
  </si>
  <si>
    <t xml:space="preserve">Firewall 設定対象 10 </t>
  </si>
  <si>
    <t xml:space="preserve">Firewall 設定対象 11 </t>
  </si>
  <si>
    <t xml:space="preserve">Firewall 設定対象 12 </t>
  </si>
  <si>
    <t xml:space="preserve">Firewall 設定対象 13 </t>
  </si>
  <si>
    <t xml:space="preserve">Firewall 設定対象 14 </t>
  </si>
  <si>
    <t xml:space="preserve">Firewall 設定対象 15 </t>
  </si>
  <si>
    <t xml:space="preserve">Firewall 設定対象 16 </t>
  </si>
  <si>
    <t xml:space="preserve">Firewall 設定対象 17 </t>
  </si>
  <si>
    <t xml:space="preserve">Firewall 設定対象 18 </t>
  </si>
  <si>
    <t xml:space="preserve">Firewall 設定対象 19 </t>
  </si>
  <si>
    <t xml:space="preserve">Firewall 設定対象 20 </t>
  </si>
  <si>
    <t>FIREWALL_SET_TARGET_002</t>
  </si>
  <si>
    <t>FIREWALL_SET_TARGET_003</t>
  </si>
  <si>
    <t>FIREWALL_SET_TARGET_004</t>
  </si>
  <si>
    <t>FIREWALL_SET_TARGET_005</t>
  </si>
  <si>
    <t>FIREWALL_SET_TARGET_006</t>
  </si>
  <si>
    <t>FIREWALL_SET_TARGET_007</t>
  </si>
  <si>
    <t>FIREWALL_SET_TARGET_008</t>
  </si>
  <si>
    <t>FIREWALL_SET_TARGET_009</t>
  </si>
  <si>
    <t>FIREWALL_SET_TARGET_010</t>
  </si>
  <si>
    <t>FIREWALL_SET_TARGET_011</t>
  </si>
  <si>
    <t>FIREWALL_SET_TARGET_012</t>
  </si>
  <si>
    <t>FIREWALL_SET_TARGET_013</t>
  </si>
  <si>
    <t>FIREWALL_SET_TARGET_014</t>
  </si>
  <si>
    <t>FIREWALL_SET_TARGET_015</t>
  </si>
  <si>
    <t>FIREWALL_SET_TARGET_016</t>
  </si>
  <si>
    <t>FIREWALL_SET_TARGET_017</t>
  </si>
  <si>
    <t>FIREWALL_SET_TARGET_018</t>
  </si>
  <si>
    <t>FIREWALL_SET_TARGET_019</t>
  </si>
  <si>
    <t>FIREWALL_SET_TARGET_020</t>
  </si>
  <si>
    <t>Firewall 設定パラメータ 2</t>
  </si>
  <si>
    <t>Firewall 設定パラメータ 3</t>
  </si>
  <si>
    <t>Firewall 設定パラメータ 4</t>
  </si>
  <si>
    <t>Firewall 設定パラメータ 5</t>
  </si>
  <si>
    <t>Firewall 設定パラメータ 6</t>
  </si>
  <si>
    <t>Firewall 設定パラメータ 7</t>
  </si>
  <si>
    <t>Firewall 設定パラメータ 8</t>
  </si>
  <si>
    <t>Firewall 設定パラメータ 9</t>
  </si>
  <si>
    <t>Firewall 設定パラメータ 10</t>
  </si>
  <si>
    <t>Firewall 設定パラメータ 11</t>
  </si>
  <si>
    <t>Firewall 設定パラメータ 12</t>
  </si>
  <si>
    <t>Firewall 設定パラメータ 13</t>
  </si>
  <si>
    <t>Firewall 設定パラメータ 14</t>
  </si>
  <si>
    <t>Firewall 設定パラメータ 15</t>
  </si>
  <si>
    <t>Firewall 設定パラメータ 16</t>
  </si>
  <si>
    <t>Firewall 設定パラメータ 17</t>
  </si>
  <si>
    <t>Firewall 設定パラメータ 18</t>
  </si>
  <si>
    <t>Firewall 設定パラメータ 19</t>
  </si>
  <si>
    <t>Firewall 設定パラメータ 20</t>
  </si>
  <si>
    <t>FIREWALL_SET_PARAM_002</t>
  </si>
  <si>
    <t>FIREWALL_SET_PARAM_003</t>
  </si>
  <si>
    <t>FIREWALL_SET_PARAM_004</t>
  </si>
  <si>
    <t>FIREWALL_SET_PARAM_005</t>
  </si>
  <si>
    <t>FIREWALL_SET_PARAM_006</t>
  </si>
  <si>
    <t>FIREWALL_SET_PARAM_007</t>
  </si>
  <si>
    <t>FIREWALL_SET_PARAM_008</t>
  </si>
  <si>
    <t>FIREWALL_SET_PARAM_009</t>
  </si>
  <si>
    <t>FIREWALL_SET_PARAM_010</t>
  </si>
  <si>
    <t>FIREWALL_SET_PARAM_011</t>
  </si>
  <si>
    <t>FIREWALL_SET_PARAM_012</t>
  </si>
  <si>
    <t>FIREWALL_SET_PARAM_013</t>
  </si>
  <si>
    <t>FIREWALL_SET_PARAM_014</t>
  </si>
  <si>
    <t>FIREWALL_SET_PARAM_015</t>
  </si>
  <si>
    <t>FIREWALL_SET_PARAM_016</t>
  </si>
  <si>
    <t>FIREWALL_SET_PARAM_017</t>
  </si>
  <si>
    <t>FIREWALL_SET_PARAM_018</t>
  </si>
  <si>
    <t>FIREWALL_SET_PARAM_019</t>
  </si>
  <si>
    <t>FIREWALL_SET_PARAM_020</t>
  </si>
  <si>
    <t>FIREWALL_SET_PARAM_001</t>
    <phoneticPr fontId="1"/>
  </si>
  <si>
    <t>Firewall 設定パラメータ 21</t>
  </si>
  <si>
    <t xml:space="preserve">Firewall 設定対象 22 </t>
  </si>
  <si>
    <t>Firewall 設定パラメータ 22</t>
  </si>
  <si>
    <t xml:space="preserve">Firewall 設定対象 23 </t>
  </si>
  <si>
    <t>Firewall 設定パラメータ 23</t>
  </si>
  <si>
    <t xml:space="preserve">Firewall 設定対象 24 </t>
  </si>
  <si>
    <t>Firewall 設定パラメータ 24</t>
  </si>
  <si>
    <t xml:space="preserve">Firewall 設定対象 25 </t>
  </si>
  <si>
    <t>Firewall 設定パラメータ 25</t>
  </si>
  <si>
    <t xml:space="preserve">Firewall 設定対象 26 </t>
  </si>
  <si>
    <t>Firewall 設定パラメータ 26</t>
  </si>
  <si>
    <t xml:space="preserve">Firewall 設定対象 27 </t>
  </si>
  <si>
    <t>Firewall 設定パラメータ 27</t>
  </si>
  <si>
    <t xml:space="preserve">Firewall 設定対象 28 </t>
  </si>
  <si>
    <t>Firewall 設定パラメータ 28</t>
  </si>
  <si>
    <t xml:space="preserve">Firewall 設定対象 29 </t>
  </si>
  <si>
    <t>Firewall 設定パラメータ 29</t>
  </si>
  <si>
    <t xml:space="preserve">Firewall 設定対象 30 </t>
  </si>
  <si>
    <t>Firewall 設定パラメータ 30</t>
  </si>
  <si>
    <t>FIREWALL_SET_TARGET_021</t>
  </si>
  <si>
    <t>FIREWALL_SET_PARAM_021</t>
  </si>
  <si>
    <t>FIREWALL_SET_TARGET_022</t>
  </si>
  <si>
    <t>FIREWALL_SET_PARAM_022</t>
  </si>
  <si>
    <t>FIREWALL_SET_TARGET_023</t>
  </si>
  <si>
    <t>FIREWALL_SET_PARAM_023</t>
  </si>
  <si>
    <t>FIREWALL_SET_TARGET_024</t>
  </si>
  <si>
    <t>FIREWALL_SET_PARAM_024</t>
  </si>
  <si>
    <t>FIREWALL_SET_TARGET_025</t>
  </si>
  <si>
    <t>FIREWALL_SET_PARAM_025</t>
  </si>
  <si>
    <t>FIREWALL_SET_TARGET_026</t>
  </si>
  <si>
    <t>FIREWALL_SET_PARAM_026</t>
  </si>
  <si>
    <t>FIREWALL_SET_TARGET_027</t>
  </si>
  <si>
    <t>FIREWALL_SET_PARAM_027</t>
  </si>
  <si>
    <t>FIREWALL_SET_TARGET_028</t>
  </si>
  <si>
    <t>FIREWALL_SET_PARAM_028</t>
  </si>
  <si>
    <t>FIREWALL_SET_TARGET_029</t>
  </si>
  <si>
    <t>FIREWALL_SET_PARAM_029</t>
  </si>
  <si>
    <t>FIREWALL_SET_TARGET_030</t>
  </si>
  <si>
    <t>FIREWALL_SET_PARAM_030</t>
  </si>
  <si>
    <t xml:space="preserve">Firewall 設定対象 21 </t>
    <phoneticPr fontId="1"/>
  </si>
  <si>
    <t>FIREWALL_SET_TARGET_001</t>
    <phoneticPr fontId="1"/>
  </si>
  <si>
    <t>Firewall 設定パラメータ 1</t>
    <phoneticPr fontId="1"/>
  </si>
  <si>
    <t>Firewall 設定パラメータ デフォルト設定</t>
    <rPh sb="22" eb="24">
      <t>セッテイ</t>
    </rPh>
    <phoneticPr fontId="1"/>
  </si>
  <si>
    <t>LocalAddress={Any},RemoteAddress={Any}</t>
  </si>
  <si>
    <t>FIREWALL_SET_PARAM_FORMAT</t>
    <phoneticPr fontId="1"/>
  </si>
  <si>
    <t>LocalAddress={%s},RemoteAddress={%s}</t>
    <phoneticPr fontId="1"/>
  </si>
  <si>
    <t>Firewall 設定対象 31</t>
    <phoneticPr fontId="1"/>
  </si>
  <si>
    <t>Firewall 設定パラメータ 31</t>
    <phoneticPr fontId="1"/>
  </si>
  <si>
    <t xml:space="preserve">Firewall 設定対象 32 </t>
    <phoneticPr fontId="1"/>
  </si>
  <si>
    <t>Firewall 設定パラメータ 32</t>
    <phoneticPr fontId="1"/>
  </si>
  <si>
    <t>FIREWALL_SET_PARAM_032</t>
    <phoneticPr fontId="1"/>
  </si>
  <si>
    <t>FIREWALL_SET_TARGET_032</t>
    <phoneticPr fontId="1"/>
  </si>
  <si>
    <t>FIREWALL_SET_PARAM_031</t>
    <phoneticPr fontId="1"/>
  </si>
  <si>
    <t>FIREWALL_SET_TARGET_031</t>
    <phoneticPr fontId="1"/>
  </si>
  <si>
    <t>FIREWALL_SET_POWERSH_TYPE</t>
    <phoneticPr fontId="1"/>
  </si>
  <si>
    <t>FIREWALL_SET_RULE_TYPE</t>
    <phoneticPr fontId="1"/>
  </si>
  <si>
    <t>Firewall ルール対象選択(3:両方、2:LocalAddress、1:RemoteAddress)</t>
    <rPh sb="12" eb="14">
      <t>タイショウ</t>
    </rPh>
    <rPh sb="14" eb="16">
      <t>センタク</t>
    </rPh>
    <phoneticPr fontId="1"/>
  </si>
  <si>
    <t>IOTDS_SNMP_ENABLE</t>
    <phoneticPr fontId="1"/>
  </si>
  <si>
    <t>IOTDS_SNMP_SEND_TRAP</t>
    <phoneticPr fontId="1"/>
  </si>
  <si>
    <t>IOTDS_SNMP_ACCEPT_LIST</t>
    <phoneticPr fontId="1"/>
  </si>
  <si>
    <t>IOTDS_SNMP_TRAP_LIST</t>
    <phoneticPr fontId="1"/>
  </si>
  <si>
    <t>NONE</t>
  </si>
  <si>
    <t>NOTIFY</t>
  </si>
  <si>
    <t>READ ONLY</t>
  </si>
  <si>
    <t>READ WRITE</t>
  </si>
  <si>
    <t>READ CREATE</t>
  </si>
  <si>
    <t>0x00000039</t>
    <phoneticPr fontId="1"/>
  </si>
  <si>
    <t>SNMP設定 トラップリスト</t>
    <rPh sb="4" eb="6">
      <t>セッテイ</t>
    </rPh>
    <phoneticPr fontId="1"/>
  </si>
  <si>
    <t>SNMP設定 受け付けるコミュニティ名リスト</t>
    <rPh sb="4" eb="6">
      <t>セッテイ</t>
    </rPh>
    <phoneticPr fontId="1"/>
  </si>
  <si>
    <t>SNMP設定 サービス有効フラグ(0:無効|1:有効)</t>
    <rPh sb="11" eb="13">
      <t>ユウコウ</t>
    </rPh>
    <phoneticPr fontId="1"/>
  </si>
  <si>
    <t>SNMP設定 認証トラップ送信有無フラグ(0:無効|1:有効)</t>
    <rPh sb="15" eb="17">
      <t>ウム</t>
    </rPh>
    <phoneticPr fontId="1"/>
  </si>
  <si>
    <t>SNMP設定追加</t>
    <rPh sb="4" eb="6">
      <t>セッテイ</t>
    </rPh>
    <rPh sb="6" eb="8">
      <t>ツイカ</t>
    </rPh>
    <phoneticPr fontId="1"/>
  </si>
  <si>
    <t>Vendor</t>
    <phoneticPr fontId="1"/>
  </si>
  <si>
    <t>全システム</t>
    <rPh sb="0" eb="1">
      <t>ゼン</t>
    </rPh>
    <phoneticPr fontId="1"/>
  </si>
  <si>
    <t>ADLink</t>
    <phoneticPr fontId="1"/>
  </si>
  <si>
    <t>Dell</t>
    <phoneticPr fontId="1"/>
  </si>
  <si>
    <t>Beckhoff</t>
    <phoneticPr fontId="1"/>
  </si>
  <si>
    <t>4(0x04)</t>
    <phoneticPr fontId="1"/>
  </si>
  <si>
    <t>1(0x01)</t>
    <phoneticPr fontId="1"/>
  </si>
  <si>
    <t>2(0x02)</t>
    <phoneticPr fontId="1"/>
  </si>
  <si>
    <t>データ：{LocalAddress},{RemoteAddress}</t>
    <phoneticPr fontId="1"/>
  </si>
  <si>
    <t>詳細：Name={設定名},DisplayName={表示名},Vendor:n</t>
    <rPh sb="0" eb="2">
      <t>ショウサイ</t>
    </rPh>
    <rPh sb="9" eb="11">
      <t>セッテイ</t>
    </rPh>
    <rPh sb="11" eb="12">
      <t>メイ</t>
    </rPh>
    <rPh sb="27" eb="29">
      <t>ヒョウジ</t>
    </rPh>
    <rPh sb="29" eb="30">
      <t>メイ</t>
    </rPh>
    <phoneticPr fontId="1"/>
  </si>
  <si>
    <t>Name={TwinCAT ADS TCP},DisplayName={World Wide Web Services (TwinCAT ADS TCP)},Vendor=4</t>
  </si>
  <si>
    <t>Name={TwinCAT ADS UDP},DisplayName={World Wide Web Services (TwinCAT ADS UDP)},Vendor=4</t>
  </si>
  <si>
    <t>{Name1,DistAx, … DistSn},{Name2,DistBx, … Distn}</t>
    <phoneticPr fontId="1"/>
  </si>
  <si>
    <t>SNMP設定 トラップリスト合計最大数</t>
    <rPh sb="4" eb="6">
      <t>セッテイ</t>
    </rPh>
    <rPh sb="14" eb="16">
      <t>ゴウケイ</t>
    </rPh>
    <rPh sb="16" eb="18">
      <t>サイダイ</t>
    </rPh>
    <rPh sb="18" eb="19">
      <t>スウ</t>
    </rPh>
    <phoneticPr fontId="1"/>
  </si>
  <si>
    <t>SNMP設定 受け付けるコミュニティ名リスト最大数</t>
    <rPh sb="4" eb="6">
      <t>セッテイ</t>
    </rPh>
    <rPh sb="22" eb="24">
      <t>サイダイ</t>
    </rPh>
    <rPh sb="24" eb="25">
      <t>スウ</t>
    </rPh>
    <phoneticPr fontId="1"/>
  </si>
  <si>
    <t>IOTDS_SNMP_TRAP_LIST_TOTAL_MAX</t>
    <phoneticPr fontId="1"/>
  </si>
  <si>
    <t>権限→</t>
    <rPh sb="0" eb="2">
      <t>ケンゲン</t>
    </rPh>
    <phoneticPr fontId="1"/>
  </si>
  <si>
    <t>FIREWALL_SET_CUSTOM_MAX</t>
    <phoneticPr fontId="1"/>
  </si>
  <si>
    <t>Firewall カスタムルール最大</t>
    <rPh sb="16" eb="18">
      <t>サイダイ</t>
    </rPh>
    <phoneticPr fontId="1"/>
  </si>
  <si>
    <t>Firewall,SNMP設定最大数既定</t>
    <rPh sb="13" eb="15">
      <t>セッテイ</t>
    </rPh>
    <rPh sb="15" eb="17">
      <t>サイダイ</t>
    </rPh>
    <rPh sb="17" eb="18">
      <t>スウ</t>
    </rPh>
    <rPh sb="18" eb="20">
      <t>キテイ</t>
    </rPh>
    <phoneticPr fontId="1"/>
  </si>
  <si>
    <t>IOTDS_SNMP_COMMUNITY_MAX</t>
    <phoneticPr fontId="1"/>
  </si>
  <si>
    <t>Key1\1,Key2\2…</t>
    <phoneticPr fontId="1"/>
  </si>
  <si>
    <t>Firewall スコープ設定フォーマット選択(0変更確認なし1:変更確認有り,2:直接)</t>
    <rPh sb="21" eb="23">
      <t>センタク</t>
    </rPh>
    <rPh sb="25" eb="27">
      <t>ヘンコウ</t>
    </rPh>
    <rPh sb="42" eb="44">
      <t>チョクセツ</t>
    </rPh>
    <phoneticPr fontId="1"/>
  </si>
  <si>
    <t>Firewall 対象設定方法（0:個別、1:統一）</t>
    <rPh sb="9" eb="11">
      <t>タイショウ</t>
    </rPh>
    <rPh sb="13" eb="15">
      <t>ホウホウ</t>
    </rPh>
    <rPh sb="18" eb="20">
      <t>コベツ</t>
    </rPh>
    <rPh sb="23" eb="25">
      <t>トウイツ</t>
    </rPh>
    <phoneticPr fontId="1"/>
  </si>
  <si>
    <t>FIREWALL_SET_TIMMING</t>
    <phoneticPr fontId="1"/>
  </si>
  <si>
    <t>0x0000003A</t>
    <phoneticPr fontId="1"/>
  </si>
  <si>
    <t>FIREWALL_SET_TARGET_TYPE</t>
    <phoneticPr fontId="1"/>
  </si>
  <si>
    <t>1.6.0</t>
    <phoneticPr fontId="1"/>
  </si>
  <si>
    <t>V1.4は現在仕様外</t>
    <rPh sb="5" eb="7">
      <t>ゲンザイ</t>
    </rPh>
    <rPh sb="7" eb="9">
      <t>シヨウ</t>
    </rPh>
    <rPh sb="9" eb="10">
      <t>ガイ</t>
    </rPh>
    <phoneticPr fontId="1"/>
  </si>
  <si>
    <t>Firewall設定タイミング追加
リモート接続用バージョンは未使用とする</t>
    <rPh sb="8" eb="10">
      <t>セッテイ</t>
    </rPh>
    <rPh sb="15" eb="17">
      <t>ツイカ</t>
    </rPh>
    <rPh sb="31" eb="34">
      <t>ミシヨウ</t>
    </rPh>
    <phoneticPr fontId="1"/>
  </si>
  <si>
    <t>リモート接続用バージョン(IoT Data Server V1.3.0まで)</t>
    <phoneticPr fontId="1"/>
  </si>
  <si>
    <t>プロジェクト起動中のファイルリスト最大数</t>
    <rPh sb="6" eb="9">
      <t>キドウチュウ</t>
    </rPh>
    <rPh sb="17" eb="19">
      <t>サイダイ</t>
    </rPh>
    <rPh sb="19" eb="20">
      <t>スウ</t>
    </rPh>
    <phoneticPr fontId="1"/>
  </si>
  <si>
    <t>プロジェクト起動中のファイルリスト最大数</t>
    <rPh sb="6" eb="9">
      <t>キドウチュウ</t>
    </rPh>
    <rPh sb="17" eb="19">
      <t>サイダイ</t>
    </rPh>
    <rPh sb="19" eb="20">
      <t>スウ</t>
    </rPh>
    <phoneticPr fontId="1"/>
  </si>
  <si>
    <t>LAUNCH_FILELIST_PRJRUN_MAX</t>
    <phoneticPr fontId="1"/>
  </si>
  <si>
    <t>坂上</t>
    <phoneticPr fontId="1"/>
  </si>
  <si>
    <t>ファイル操作の最大表示数定義（Launcher）</t>
    <rPh sb="4" eb="6">
      <t>ソウサ</t>
    </rPh>
    <rPh sb="7" eb="9">
      <t>サイダイ</t>
    </rPh>
    <rPh sb="9" eb="11">
      <t>ヒョウジ</t>
    </rPh>
    <rPh sb="11" eb="12">
      <t>スウ</t>
    </rPh>
    <rPh sb="12" eb="14">
      <t>テイギ</t>
    </rPh>
    <phoneticPr fontId="1"/>
  </si>
  <si>
    <t>Firewall設定対象変更
Tactical Software追加、CaoOPC削除</t>
    <rPh sb="8" eb="10">
      <t>セッテイ</t>
    </rPh>
    <rPh sb="10" eb="12">
      <t>タイショウ</t>
    </rPh>
    <rPh sb="12" eb="14">
      <t>ヘンコウ</t>
    </rPh>
    <rPh sb="32" eb="34">
      <t>ツイカ</t>
    </rPh>
    <rPh sb="41" eb="43">
      <t>サクジョ</t>
    </rPh>
    <phoneticPr fontId="1"/>
  </si>
  <si>
    <t>Windows資格情報追加</t>
    <rPh sb="7" eb="9">
      <t>シカク</t>
    </rPh>
    <rPh sb="9" eb="11">
      <t>ジョウホウ</t>
    </rPh>
    <rPh sb="11" eb="13">
      <t>ツイカ</t>
    </rPh>
    <phoneticPr fontId="1"/>
  </si>
  <si>
    <t>0x0000003B</t>
    <phoneticPr fontId="1"/>
  </si>
  <si>
    <t>WinCred</t>
    <phoneticPr fontId="1"/>
  </si>
  <si>
    <t>Windows資格情報[2]</t>
  </si>
  <si>
    <t>Windows資格情報[3]</t>
  </si>
  <si>
    <t>Windows資格情報[4]</t>
  </si>
  <si>
    <t>Windows資格情報[5]</t>
  </si>
  <si>
    <t>Windows資格情報[6]</t>
  </si>
  <si>
    <t>Windows資格情報[7]</t>
  </si>
  <si>
    <t>Windows資格情報[8]</t>
  </si>
  <si>
    <t>Windows資格情報[9]</t>
  </si>
  <si>
    <t>Windows資格情報[10]</t>
  </si>
  <si>
    <t>Windows資格情報[11]</t>
  </si>
  <si>
    <t>Windows資格情報[12]</t>
  </si>
  <si>
    <t>Windows資格情報[13]</t>
  </si>
  <si>
    <t>Windows資格情報[14]</t>
  </si>
  <si>
    <t>Windows資格情報[15]</t>
  </si>
  <si>
    <t>Windows資格情報[16]</t>
  </si>
  <si>
    <t>Windows資格情報[17]</t>
  </si>
  <si>
    <t>Windows資格情報[18]</t>
  </si>
  <si>
    <t>Windows資格情報[19]</t>
  </si>
  <si>
    <t>Windows資格情報[20]</t>
  </si>
  <si>
    <t>Windows資格情報[21]</t>
  </si>
  <si>
    <t>Windows資格情報[22]</t>
  </si>
  <si>
    <t>Windows資格情報[23]</t>
  </si>
  <si>
    <t>Windows資格情報[24]</t>
  </si>
  <si>
    <t>Windows資格情報[25]</t>
  </si>
  <si>
    <t>Windows資格情報[26]</t>
  </si>
  <si>
    <t>Windows資格情報[27]</t>
  </si>
  <si>
    <t>Windows資格情報[28]</t>
  </si>
  <si>
    <t>Windows資格情報[29]</t>
  </si>
  <si>
    <t>Windows資格情報[30]</t>
  </si>
  <si>
    <t>Windows資格情報[31]</t>
  </si>
  <si>
    <t>Windows資格情報[32]</t>
  </si>
  <si>
    <t>Windows資格情報[33]</t>
  </si>
  <si>
    <t>Windows資格情報[34]</t>
  </si>
  <si>
    <t>Windows資格情報[35]</t>
  </si>
  <si>
    <t>Windows資格情報[36]</t>
  </si>
  <si>
    <t>Windows資格情報[37]</t>
  </si>
  <si>
    <t>Windows資格情報[38]</t>
  </si>
  <si>
    <t>Windows資格情報[39]</t>
  </si>
  <si>
    <t>Windows資格情報[40]</t>
  </si>
  <si>
    <t>Windows資格情報[41]</t>
  </si>
  <si>
    <t>Windows資格情報[42]</t>
  </si>
  <si>
    <t>Windows資格情報[43]</t>
  </si>
  <si>
    <t>Windows資格情報[44]</t>
  </si>
  <si>
    <t>Windows資格情報[45]</t>
  </si>
  <si>
    <t>Windows資格情報[46]</t>
  </si>
  <si>
    <t>Windows資格情報[47]</t>
  </si>
  <si>
    <t>Windows資格情報[48]</t>
  </si>
  <si>
    <t>Windows資格情報[49]</t>
  </si>
  <si>
    <t>Windows資格情報[50]</t>
  </si>
  <si>
    <t>Windows資格情報[51]</t>
  </si>
  <si>
    <t>Windows資格情報[52]</t>
  </si>
  <si>
    <t>Windows資格情報[53]</t>
  </si>
  <si>
    <t>Windows資格情報[54]</t>
  </si>
  <si>
    <t>Windows資格情報[55]</t>
  </si>
  <si>
    <t>Windows資格情報[56]</t>
  </si>
  <si>
    <t>Windows資格情報[57]</t>
  </si>
  <si>
    <t>Windows資格情報[58]</t>
  </si>
  <si>
    <t>Windows資格情報[59]</t>
  </si>
  <si>
    <t>Windows資格情報[60]</t>
  </si>
  <si>
    <t>Windows資格情報[61]</t>
  </si>
  <si>
    <t>Windows資格情報[62]</t>
  </si>
  <si>
    <t>Windows資格情報[63]</t>
  </si>
  <si>
    <t>Windows資格情報[64]</t>
  </si>
  <si>
    <t>Windows資格情報[65]</t>
  </si>
  <si>
    <t>Windows資格情報[66]</t>
  </si>
  <si>
    <t>Windows資格情報[67]</t>
  </si>
  <si>
    <t>Windows資格情報[68]</t>
  </si>
  <si>
    <t>Windows資格情報[69]</t>
  </si>
  <si>
    <t>Windows資格情報[70]</t>
  </si>
  <si>
    <t>Windows資格情報[71]</t>
  </si>
  <si>
    <t>Windows資格情報[72]</t>
  </si>
  <si>
    <t>Windows資格情報[73]</t>
  </si>
  <si>
    <t>Windows資格情報[74]</t>
  </si>
  <si>
    <t>Windows資格情報[75]</t>
  </si>
  <si>
    <t>Windows資格情報[76]</t>
  </si>
  <si>
    <t>Windows資格情報[77]</t>
  </si>
  <si>
    <t>Windows資格情報[78]</t>
  </si>
  <si>
    <t>Windows資格情報[79]</t>
  </si>
  <si>
    <t>Windows資格情報[80]</t>
  </si>
  <si>
    <t>Windows資格情報[81]</t>
  </si>
  <si>
    <t>Windows資格情報[82]</t>
  </si>
  <si>
    <t>Windows資格情報[83]</t>
  </si>
  <si>
    <t>Windows資格情報[84]</t>
  </si>
  <si>
    <t>Windows資格情報[85]</t>
  </si>
  <si>
    <t>Windows資格情報[86]</t>
  </si>
  <si>
    <t>Windows資格情報[87]</t>
  </si>
  <si>
    <t>Windows資格情報[88]</t>
  </si>
  <si>
    <t>Windows資格情報[89]</t>
  </si>
  <si>
    <t>Windows資格情報[90]</t>
  </si>
  <si>
    <t>Windows資格情報[91]</t>
  </si>
  <si>
    <t>Windows資格情報[92]</t>
  </si>
  <si>
    <t>Windows資格情報[93]</t>
  </si>
  <si>
    <t>Windows資格情報[94]</t>
  </si>
  <si>
    <t>Windows資格情報[95]</t>
  </si>
  <si>
    <t>Windows資格情報[96]</t>
  </si>
  <si>
    <t>Windows資格情報[97]</t>
  </si>
  <si>
    <t>Windows資格情報[98]</t>
  </si>
  <si>
    <t>Windows資格情報[99]</t>
  </si>
  <si>
    <t>Windows資格情報[100]</t>
  </si>
  <si>
    <t>Windows資格情報[1]</t>
    <phoneticPr fontId="1"/>
  </si>
  <si>
    <t>IOTDS_WINCRED_INFO_001</t>
  </si>
  <si>
    <t>IOTDS_WINCRED_INFO_002</t>
  </si>
  <si>
    <t>IOTDS_WINCRED_INFO_003</t>
  </si>
  <si>
    <t>IOTDS_WINCRED_INFO_004</t>
  </si>
  <si>
    <t>IOTDS_WINCRED_INFO_005</t>
  </si>
  <si>
    <t>IOTDS_WINCRED_INFO_006</t>
  </si>
  <si>
    <t>IOTDS_WINCRED_INFO_007</t>
  </si>
  <si>
    <t>IOTDS_WINCRED_INFO_008</t>
  </si>
  <si>
    <t>IOTDS_WINCRED_INFO_009</t>
  </si>
  <si>
    <t>IOTDS_WINCRED_INFO_010</t>
  </si>
  <si>
    <t>IOTDS_WINCRED_INFO_011</t>
  </si>
  <si>
    <t>IOTDS_WINCRED_INFO_012</t>
  </si>
  <si>
    <t>IOTDS_WINCRED_INFO_013</t>
  </si>
  <si>
    <t>IOTDS_WINCRED_INFO_014</t>
  </si>
  <si>
    <t>IOTDS_WINCRED_INFO_015</t>
  </si>
  <si>
    <t>IOTDS_WINCRED_INFO_016</t>
  </si>
  <si>
    <t>IOTDS_WINCRED_INFO_017</t>
  </si>
  <si>
    <t>IOTDS_WINCRED_INFO_018</t>
  </si>
  <si>
    <t>IOTDS_WINCRED_INFO_019</t>
  </si>
  <si>
    <t>IOTDS_WINCRED_INFO_020</t>
  </si>
  <si>
    <t>IOTDS_WINCRED_INFO_021</t>
  </si>
  <si>
    <t>IOTDS_WINCRED_INFO_022</t>
  </si>
  <si>
    <t>IOTDS_WINCRED_INFO_023</t>
  </si>
  <si>
    <t>IOTDS_WINCRED_INFO_024</t>
  </si>
  <si>
    <t>IOTDS_WINCRED_INFO_025</t>
  </si>
  <si>
    <t>IOTDS_WINCRED_INFO_026</t>
  </si>
  <si>
    <t>IOTDS_WINCRED_INFO_027</t>
  </si>
  <si>
    <t>IOTDS_WINCRED_INFO_028</t>
  </si>
  <si>
    <t>IOTDS_WINCRED_INFO_029</t>
  </si>
  <si>
    <t>IOTDS_WINCRED_INFO_030</t>
  </si>
  <si>
    <t>IOTDS_WINCRED_INFO_031</t>
  </si>
  <si>
    <t>IOTDS_WINCRED_INFO_032</t>
  </si>
  <si>
    <t>IOTDS_WINCRED_INFO_033</t>
  </si>
  <si>
    <t>IOTDS_WINCRED_INFO_034</t>
  </si>
  <si>
    <t>IOTDS_WINCRED_INFO_035</t>
  </si>
  <si>
    <t>IOTDS_WINCRED_INFO_036</t>
  </si>
  <si>
    <t>IOTDS_WINCRED_INFO_037</t>
  </si>
  <si>
    <t>IOTDS_WINCRED_INFO_038</t>
  </si>
  <si>
    <t>IOTDS_WINCRED_INFO_039</t>
  </si>
  <si>
    <t>IOTDS_WINCRED_INFO_040</t>
  </si>
  <si>
    <t>IOTDS_WINCRED_INFO_041</t>
  </si>
  <si>
    <t>IOTDS_WINCRED_INFO_042</t>
  </si>
  <si>
    <t>IOTDS_WINCRED_INFO_043</t>
  </si>
  <si>
    <t>IOTDS_WINCRED_INFO_044</t>
  </si>
  <si>
    <t>IOTDS_WINCRED_INFO_045</t>
  </si>
  <si>
    <t>IOTDS_WINCRED_INFO_046</t>
  </si>
  <si>
    <t>IOTDS_WINCRED_INFO_047</t>
  </si>
  <si>
    <t>IOTDS_WINCRED_INFO_048</t>
  </si>
  <si>
    <t>IOTDS_WINCRED_INFO_049</t>
  </si>
  <si>
    <t>IOTDS_WINCRED_INFO_050</t>
  </si>
  <si>
    <t>IOTDS_WINCRED_INFO_051</t>
  </si>
  <si>
    <t>IOTDS_WINCRED_INFO_052</t>
  </si>
  <si>
    <t>IOTDS_WINCRED_INFO_053</t>
  </si>
  <si>
    <t>IOTDS_WINCRED_INFO_054</t>
  </si>
  <si>
    <t>IOTDS_WINCRED_INFO_055</t>
  </si>
  <si>
    <t>IOTDS_WINCRED_INFO_056</t>
  </si>
  <si>
    <t>IOTDS_WINCRED_INFO_057</t>
  </si>
  <si>
    <t>IOTDS_WINCRED_INFO_058</t>
  </si>
  <si>
    <t>IOTDS_WINCRED_INFO_059</t>
  </si>
  <si>
    <t>IOTDS_WINCRED_INFO_060</t>
  </si>
  <si>
    <t>IOTDS_WINCRED_INFO_061</t>
  </si>
  <si>
    <t>IOTDS_WINCRED_INFO_062</t>
  </si>
  <si>
    <t>IOTDS_WINCRED_INFO_063</t>
  </si>
  <si>
    <t>IOTDS_WINCRED_INFO_064</t>
  </si>
  <si>
    <t>IOTDS_WINCRED_INFO_065</t>
  </si>
  <si>
    <t>IOTDS_WINCRED_INFO_066</t>
  </si>
  <si>
    <t>IOTDS_WINCRED_INFO_067</t>
  </si>
  <si>
    <t>IOTDS_WINCRED_INFO_068</t>
  </si>
  <si>
    <t>IOTDS_WINCRED_INFO_069</t>
  </si>
  <si>
    <t>IOTDS_WINCRED_INFO_070</t>
  </si>
  <si>
    <t>IOTDS_WINCRED_INFO_071</t>
  </si>
  <si>
    <t>IOTDS_WINCRED_INFO_072</t>
  </si>
  <si>
    <t>IOTDS_WINCRED_INFO_073</t>
  </si>
  <si>
    <t>IOTDS_WINCRED_INFO_074</t>
  </si>
  <si>
    <t>IOTDS_WINCRED_INFO_075</t>
  </si>
  <si>
    <t>IOTDS_WINCRED_INFO_076</t>
  </si>
  <si>
    <t>IOTDS_WINCRED_INFO_077</t>
  </si>
  <si>
    <t>IOTDS_WINCRED_INFO_078</t>
  </si>
  <si>
    <t>IOTDS_WINCRED_INFO_079</t>
  </si>
  <si>
    <t>IOTDS_WINCRED_INFO_080</t>
  </si>
  <si>
    <t>IOTDS_WINCRED_INFO_081</t>
  </si>
  <si>
    <t>IOTDS_WINCRED_INFO_082</t>
  </si>
  <si>
    <t>IOTDS_WINCRED_INFO_083</t>
  </si>
  <si>
    <t>IOTDS_WINCRED_INFO_084</t>
  </si>
  <si>
    <t>IOTDS_WINCRED_INFO_085</t>
  </si>
  <si>
    <t>IOTDS_WINCRED_INFO_086</t>
  </si>
  <si>
    <t>IOTDS_WINCRED_INFO_087</t>
  </si>
  <si>
    <t>IOTDS_WINCRED_INFO_088</t>
  </si>
  <si>
    <t>IOTDS_WINCRED_INFO_089</t>
  </si>
  <si>
    <t>IOTDS_WINCRED_INFO_090</t>
  </si>
  <si>
    <t>IOTDS_WINCRED_INFO_091</t>
  </si>
  <si>
    <t>IOTDS_WINCRED_INFO_092</t>
  </si>
  <si>
    <t>IOTDS_WINCRED_INFO_093</t>
  </si>
  <si>
    <t>IOTDS_WINCRED_INFO_094</t>
  </si>
  <si>
    <t>IOTDS_WINCRED_INFO_095</t>
  </si>
  <si>
    <t>IOTDS_WINCRED_INFO_096</t>
  </si>
  <si>
    <t>IOTDS_WINCRED_INFO_097</t>
  </si>
  <si>
    <t>IOTDS_WINCRED_INFO_098</t>
  </si>
  <si>
    <t>IOTDS_WINCRED_INFO_099</t>
  </si>
  <si>
    <t>IOTDS_WINCRED_INFO_100</t>
  </si>
  <si>
    <t>IOTDS_WINCRED_INFO_COUNT</t>
    <phoneticPr fontId="1"/>
  </si>
  <si>
    <t>接続設定数</t>
    <rPh sb="0" eb="2">
      <t>セツゾク</t>
    </rPh>
    <rPh sb="2" eb="4">
      <t>セッテイ</t>
    </rPh>
    <rPh sb="4" eb="5">
      <t>スウ</t>
    </rPh>
    <phoneticPr fontId="1"/>
  </si>
  <si>
    <t>WinCred</t>
    <phoneticPr fontId="1"/>
  </si>
  <si>
    <t>Windows資格情報設定数</t>
    <phoneticPr fontId="1"/>
  </si>
  <si>
    <t>IOTDS_WINCRED_INFO_MAX</t>
    <phoneticPr fontId="1"/>
  </si>
  <si>
    <t>Windows資格情報設定最大数</t>
    <rPh sb="7" eb="9">
      <t>シカク</t>
    </rPh>
    <rPh sb="9" eb="11">
      <t>ジョウホウ</t>
    </rPh>
    <rPh sb="11" eb="13">
      <t>セッテイ</t>
    </rPh>
    <rPh sb="13" eb="15">
      <t>サイダイ</t>
    </rPh>
    <rPh sb="15" eb="16">
      <t>スウ</t>
    </rPh>
    <phoneticPr fontId="1"/>
  </si>
  <si>
    <t>0x0000003C</t>
    <phoneticPr fontId="1"/>
  </si>
  <si>
    <t>Windows資格情報にユーザ情報追加</t>
    <rPh sb="15" eb="17">
      <t>ジョウホウ</t>
    </rPh>
    <rPh sb="17" eb="19">
      <t>ツイカ</t>
    </rPh>
    <phoneticPr fontId="1"/>
  </si>
  <si>
    <t>Windows資格情報にユーザ情報追加→削除</t>
    <rPh sb="15" eb="17">
      <t>ジョウホウ</t>
    </rPh>
    <rPh sb="17" eb="19">
      <t>ツイカ</t>
    </rPh>
    <rPh sb="20" eb="22">
      <t>サクジョ</t>
    </rPh>
    <phoneticPr fontId="1"/>
  </si>
  <si>
    <t>接続先spユーザ名spパスワード （sp:スペース区切り）</t>
    <rPh sb="25" eb="27">
      <t>クギ</t>
    </rPh>
    <phoneticPr fontId="1"/>
  </si>
  <si>
    <t>0x0000003D</t>
    <phoneticPr fontId="1"/>
  </si>
  <si>
    <t>画面解像度の幅</t>
    <rPh sb="0" eb="2">
      <t>ガメン</t>
    </rPh>
    <rPh sb="2" eb="5">
      <t>カイゾウド</t>
    </rPh>
    <rPh sb="6" eb="7">
      <t>ハバ</t>
    </rPh>
    <phoneticPr fontId="1"/>
  </si>
  <si>
    <t>画面解像度の高さ</t>
    <rPh sb="6" eb="7">
      <t>タカ</t>
    </rPh>
    <phoneticPr fontId="1"/>
  </si>
  <si>
    <t>0:自動</t>
    <rPh sb="2" eb="4">
      <t>ジドウ</t>
    </rPh>
    <phoneticPr fontId="1"/>
  </si>
  <si>
    <t>IOTDS_SCREEN_RESOLUTION_WIDTH</t>
    <phoneticPr fontId="1"/>
  </si>
  <si>
    <t>IOTDS_SCREEN_RESOLUTION_HEIGHT</t>
    <phoneticPr fontId="1"/>
  </si>
  <si>
    <t>画面解像度の周波数</t>
    <rPh sb="6" eb="9">
      <t>シュウハスウ</t>
    </rPh>
    <phoneticPr fontId="1"/>
  </si>
  <si>
    <t>空:全て、許容周波数を,区切り</t>
    <rPh sb="0" eb="1">
      <t>カラ</t>
    </rPh>
    <rPh sb="2" eb="3">
      <t>スベ</t>
    </rPh>
    <rPh sb="5" eb="7">
      <t>キョヨウ</t>
    </rPh>
    <rPh sb="7" eb="10">
      <t>シュウハスウ</t>
    </rPh>
    <rPh sb="12" eb="14">
      <t>クギ</t>
    </rPh>
    <phoneticPr fontId="1"/>
  </si>
  <si>
    <t>空:全て、Bits色ビットを,区切り</t>
    <rPh sb="0" eb="1">
      <t>カラ</t>
    </rPh>
    <rPh sb="2" eb="3">
      <t>スベ</t>
    </rPh>
    <rPh sb="9" eb="10">
      <t>イロ</t>
    </rPh>
    <phoneticPr fontId="1"/>
  </si>
  <si>
    <t>藤田/坂上</t>
    <rPh sb="0" eb="2">
      <t>フジタ</t>
    </rPh>
    <rPh sb="3" eb="5">
      <t>サカウエ</t>
    </rPh>
    <phoneticPr fontId="1"/>
  </si>
  <si>
    <t>IOTDS_SCREEN_RESOLUTION_WIDTH_MIN</t>
    <phoneticPr fontId="1"/>
  </si>
  <si>
    <t>IOTDS_SCREEN_RESOLUTION_HEIGHT_MIN</t>
    <phoneticPr fontId="1"/>
  </si>
  <si>
    <t>画面解像度の高さ 最小値</t>
    <rPh sb="6" eb="7">
      <t>タカ</t>
    </rPh>
    <rPh sb="9" eb="12">
      <t>サイショウチ</t>
    </rPh>
    <phoneticPr fontId="1"/>
  </si>
  <si>
    <t>画面解像度の幅　最小値</t>
    <rPh sb="0" eb="2">
      <t>ガメン</t>
    </rPh>
    <rPh sb="2" eb="5">
      <t>カイゾウド</t>
    </rPh>
    <rPh sb="6" eb="7">
      <t>ハバ</t>
    </rPh>
    <rPh sb="8" eb="11">
      <t>サイショウチ</t>
    </rPh>
    <phoneticPr fontId="1"/>
  </si>
  <si>
    <t>画面サイズ追加　IOTDS_SCREEN_RESOLUTION_*</t>
    <rPh sb="0" eb="2">
      <t>ガメン</t>
    </rPh>
    <rPh sb="5" eb="7">
      <t>ツイカ</t>
    </rPh>
    <phoneticPr fontId="1"/>
  </si>
  <si>
    <t>IOTDS_SCHEDULE_DELETE_TIME</t>
    <phoneticPr fontId="1"/>
  </si>
  <si>
    <t>0x00183B3B</t>
    <phoneticPr fontId="1"/>
  </si>
  <si>
    <t>0x00HHMMSS形式</t>
    <rPh sb="10" eb="12">
      <t>ケイシキ</t>
    </rPh>
    <phoneticPr fontId="1"/>
  </si>
  <si>
    <t>有効無効\tタスク名\tフォルダパス\t除外するファイル\t経過日数\n ×個数</t>
    <rPh sb="0" eb="2">
      <t>ユウコウ</t>
    </rPh>
    <rPh sb="2" eb="4">
      <t>ムコウ</t>
    </rPh>
    <rPh sb="30" eb="32">
      <t>ケイカ</t>
    </rPh>
    <rPh sb="32" eb="34">
      <t>ニッスウ</t>
    </rPh>
    <rPh sb="38" eb="40">
      <t>コスウ</t>
    </rPh>
    <phoneticPr fontId="1"/>
  </si>
  <si>
    <t>IOTDS_SCHEDULE_DELETE_MAX</t>
    <phoneticPr fontId="1"/>
  </si>
  <si>
    <t>0x0000003E</t>
    <phoneticPr fontId="1"/>
  </si>
  <si>
    <t>ファイル自動削除仕様追加</t>
    <rPh sb="4" eb="6">
      <t>ジドウ</t>
    </rPh>
    <rPh sb="6" eb="8">
      <t>サクジョ</t>
    </rPh>
    <rPh sb="8" eb="10">
      <t>シヨウ</t>
    </rPh>
    <rPh sb="10" eb="12">
      <t>ツイカ</t>
    </rPh>
    <phoneticPr fontId="1"/>
  </si>
  <si>
    <t>IOTDS_SCHEDULE_DELETE_PARAM_00</t>
    <phoneticPr fontId="1"/>
  </si>
  <si>
    <t>IOTDS_SCHEDULE_DELETE_INTERVAL</t>
    <phoneticPr fontId="1"/>
  </si>
  <si>
    <t>ファイル自動削除パラメータ</t>
    <phoneticPr fontId="1"/>
  </si>
  <si>
    <t>ファイル自動削除設定最大</t>
    <rPh sb="8" eb="10">
      <t>セッテイ</t>
    </rPh>
    <rPh sb="10" eb="12">
      <t>サイダイ</t>
    </rPh>
    <phoneticPr fontId="1"/>
  </si>
  <si>
    <t>ファイル自動削除時間</t>
    <rPh sb="8" eb="10">
      <t>ジカン</t>
    </rPh>
    <phoneticPr fontId="1"/>
  </si>
  <si>
    <t>ファイル自動削除　削除間隔[ms]</t>
    <rPh sb="9" eb="11">
      <t>サクジョ</t>
    </rPh>
    <rPh sb="11" eb="13">
      <t>カンカク</t>
    </rPh>
    <phoneticPr fontId="1"/>
  </si>
  <si>
    <t>ファイル自動削除パラメータタグ数</t>
    <rPh sb="15" eb="16">
      <t>スウ</t>
    </rPh>
    <phoneticPr fontId="1"/>
  </si>
  <si>
    <t>IOTDS_SCHEDULE_DELETE_PARAM_COUNT</t>
    <phoneticPr fontId="1"/>
  </si>
  <si>
    <t>設定情報の最大数</t>
    <rPh sb="0" eb="2">
      <t>セッテイ</t>
    </rPh>
    <rPh sb="2" eb="4">
      <t>ジョウホウ</t>
    </rPh>
    <rPh sb="5" eb="7">
      <t>サイダイ</t>
    </rPh>
    <rPh sb="7" eb="8">
      <t>スウ</t>
    </rPh>
    <phoneticPr fontId="1"/>
  </si>
  <si>
    <t>IOTDS_SCHEDULE_DELETE_PARAM_01</t>
    <phoneticPr fontId="1"/>
  </si>
  <si>
    <t>IOTDS_SCHEDULE_DELETE_PARAM_02</t>
    <phoneticPr fontId="1"/>
  </si>
  <si>
    <t>SIP_OPT_CPC_KEEP_ALIVE_TIMER</t>
    <phoneticPr fontId="1"/>
  </si>
  <si>
    <t>SIP_OPT_MAX_RECONNECT_TIMEOUT</t>
    <phoneticPr fontId="1"/>
  </si>
  <si>
    <t>0x0000003F</t>
    <phoneticPr fontId="1"/>
  </si>
  <si>
    <t>HMS設定追加
SerialIP COM Port Control Keep-Alive Interval
SerialIP Maximum Connection Recovery Interval</t>
    <rPh sb="3" eb="5">
      <t>セッテイ</t>
    </rPh>
    <rPh sb="5" eb="7">
      <t>ツイカ</t>
    </rPh>
    <phoneticPr fontId="1"/>
  </si>
  <si>
    <t>SerialIP COMポート最小番号(HMS)</t>
    <rPh sb="15" eb="17">
      <t>サイショウ</t>
    </rPh>
    <phoneticPr fontId="1"/>
  </si>
  <si>
    <t>SerialIP COMポート最大番号(HMS)</t>
    <rPh sb="15" eb="17">
      <t>サイダイ</t>
    </rPh>
    <rPh sb="17" eb="19">
      <t>バンゴウ</t>
    </rPh>
    <phoneticPr fontId="1"/>
  </si>
  <si>
    <t>SerialIP COMポート番号　選択データ(HMS)</t>
    <rPh sb="15" eb="17">
      <t>バンゴウ</t>
    </rPh>
    <rPh sb="18" eb="20">
      <t>センタク</t>
    </rPh>
    <phoneticPr fontId="1"/>
  </si>
  <si>
    <t>SIP_PHOENIX_PORT_NO_MIN</t>
    <phoneticPr fontId="1"/>
  </si>
  <si>
    <t>SerialIP COMポート最小番号(PHOENIX)</t>
    <rPh sb="15" eb="17">
      <t>サイショウ</t>
    </rPh>
    <phoneticPr fontId="1"/>
  </si>
  <si>
    <t>SerialIP COMポート最大番号(PHOENIX)</t>
    <rPh sb="15" eb="17">
      <t>サイダイ</t>
    </rPh>
    <rPh sb="17" eb="19">
      <t>バンゴウ</t>
    </rPh>
    <phoneticPr fontId="1"/>
  </si>
  <si>
    <t>SerialIP COMポート番号　選択データ(PHOENIX)</t>
    <rPh sb="15" eb="17">
      <t>バンゴウ</t>
    </rPh>
    <rPh sb="18" eb="20">
      <t>センタク</t>
    </rPh>
    <phoneticPr fontId="1"/>
  </si>
  <si>
    <t>SerialIP Options Exend Server Connection by Enabled (0: 無効, 1: 有効)(HMS)</t>
    <phoneticPr fontId="1"/>
  </si>
  <si>
    <t>SerialIP Options Exend Server Connection by(HMS)</t>
    <phoneticPr fontId="1"/>
  </si>
  <si>
    <t>SerialIP Options End Connection Attempt after Enabled (0: 無効, 1: 有効)(HMS)</t>
    <phoneticPr fontId="1"/>
  </si>
  <si>
    <t>SerialIP Options End Connection Attempt after Value(HMS)</t>
    <phoneticPr fontId="1"/>
  </si>
  <si>
    <t>SerialIP Options Update Routing Table Upon COM Port Open (0: 無効, 1: 有効)(HMS)</t>
    <phoneticPr fontId="1"/>
  </si>
  <si>
    <t>SerialIP Options Always Limit Data Rate to COM Port Baud Rate (0: 無効, 1: 有効)(HMS)</t>
    <phoneticPr fontId="1"/>
  </si>
  <si>
    <t>SerialIP Force Name Server Enabled (0: 無効, 1: 有効)(HMS)</t>
    <phoneticPr fontId="1"/>
  </si>
  <si>
    <t>SerialIP Force Name Server(HMS)</t>
    <phoneticPr fontId="1"/>
  </si>
  <si>
    <t>SerialIP COM Port Control Keep-Alive Interval(HMS)</t>
    <phoneticPr fontId="1"/>
  </si>
  <si>
    <t>SerialIP Maximum Connection Recovery Interval(HMS)</t>
    <phoneticPr fontId="1"/>
  </si>
  <si>
    <t>SIP_PHOENIX_PORT_NO_MAX</t>
    <phoneticPr fontId="1"/>
  </si>
  <si>
    <t>SerialIP COM00 自動再接続再接続周期</t>
    <rPh sb="15" eb="17">
      <t>ジドウ</t>
    </rPh>
    <rPh sb="17" eb="20">
      <t>サイセツゾク</t>
    </rPh>
    <phoneticPr fontId="1"/>
  </si>
  <si>
    <t>SIP_COM00_RECONNECT_INTERVAL</t>
  </si>
  <si>
    <t>SerialIP COM04 自動再接続再接続周期</t>
  </si>
  <si>
    <t>SerialIP COM05 自動再接続再接続周期</t>
  </si>
  <si>
    <t>SerialIP COM06 自動再接続再接続周期</t>
  </si>
  <si>
    <t>SerialIP COM07 自動再接続再接続周期</t>
  </si>
  <si>
    <t>SerialIP COM08 自動再接続再接続周期</t>
  </si>
  <si>
    <t>SerialIP COM09 自動再接続再接続周期</t>
  </si>
  <si>
    <t>SerialIP COM10 自動再接続再接続周期</t>
  </si>
  <si>
    <t>SerialIP COM11 自動再接続再接続周期</t>
  </si>
  <si>
    <t>SerialIP COM12 自動再接続再接続周期</t>
  </si>
  <si>
    <t>SerialIP COM13 自動再接続再接続周期</t>
  </si>
  <si>
    <t>SerialIP COM14 自動再接続再接続周期</t>
  </si>
  <si>
    <t>SerialIP COM15 自動再接続再接続周期</t>
  </si>
  <si>
    <t>SerialIP COM16 自動再接続再接続周期</t>
  </si>
  <si>
    <t>SerialIP COM17 自動再接続再接続周期</t>
  </si>
  <si>
    <t>SerialIP COM18 自動再接続再接続周期</t>
  </si>
  <si>
    <t>SerialIP COM19 自動再接続再接続周期</t>
  </si>
  <si>
    <t>SerialIP COM20 自動再接続再接続周期</t>
  </si>
  <si>
    <t>SerialIP COM21 自動再接続再接続周期</t>
  </si>
  <si>
    <t>SerialIP COM22 自動再接続再接続周期</t>
  </si>
  <si>
    <t>SerialIP COM23 自動再接続再接続周期</t>
  </si>
  <si>
    <t>SerialIP COM24 自動再接続再接続周期</t>
  </si>
  <si>
    <t>SerialIP COM25 自動再接続再接続周期</t>
  </si>
  <si>
    <t>SerialIP COM26 自動再接続再接続周期</t>
  </si>
  <si>
    <t>SerialIP COM27 自動再接続再接続周期</t>
  </si>
  <si>
    <t>SerialIP COM28 自動再接続再接続周期</t>
  </si>
  <si>
    <t>SerialIP COM29 自動再接続再接続周期</t>
  </si>
  <si>
    <t>SerialIP COM30 自動再接続再接続周期</t>
  </si>
  <si>
    <t>SerialIP COM31 自動再接続再接続周期</t>
  </si>
  <si>
    <t>SerialIP COM32 自動再接続再接続周期</t>
  </si>
  <si>
    <t>SerialIP COM33 自動再接続再接続周期</t>
  </si>
  <si>
    <t>SerialIP COM34 自動再接続再接続周期</t>
  </si>
  <si>
    <t>SerialIP COM35 自動再接続再接続周期</t>
  </si>
  <si>
    <t>SerialIP COM36 自動再接続再接続周期</t>
  </si>
  <si>
    <t>SerialIP COM37 自動再接続再接続周期</t>
  </si>
  <si>
    <t>SerialIP COM38 自動再接続再接続周期</t>
  </si>
  <si>
    <t>SerialIP COM39 自動再接続再接続周期</t>
  </si>
  <si>
    <t>SerialIP COM40 自動再接続再接続周期</t>
  </si>
  <si>
    <t>SerialIP COM41 自動再接続再接続周期</t>
  </si>
  <si>
    <t>SerialIP COM42 自動再接続再接続周期</t>
  </si>
  <si>
    <t>SerialIP COM43 自動再接続再接続周期</t>
  </si>
  <si>
    <t>SerialIP COM44 自動再接続再接続周期</t>
  </si>
  <si>
    <t>SerialIP COM45 自動再接続再接続周期</t>
  </si>
  <si>
    <t>SerialIP COM46 自動再接続再接続周期</t>
  </si>
  <si>
    <t>SerialIP COM47 自動再接続再接続周期</t>
  </si>
  <si>
    <t>SerialIP COM48 自動再接続再接続周期</t>
  </si>
  <si>
    <t>SerialIP COM49 自動再接続再接続周期</t>
  </si>
  <si>
    <t>SerialIP COM02 自動再接続再接続周期</t>
    <rPh sb="15" eb="17">
      <t>ジドウ</t>
    </rPh>
    <rPh sb="17" eb="20">
      <t>サイセツゾク</t>
    </rPh>
    <phoneticPr fontId="1"/>
  </si>
  <si>
    <t>SerialIP COM03 自動再接続再接続周期</t>
    <rPh sb="15" eb="17">
      <t>ジドウ</t>
    </rPh>
    <rPh sb="17" eb="20">
      <t>サイセツゾク</t>
    </rPh>
    <phoneticPr fontId="1"/>
  </si>
  <si>
    <t>SerialIP COM01 自動再接続再接続周期</t>
    <rPh sb="15" eb="17">
      <t>ジドウ</t>
    </rPh>
    <rPh sb="17" eb="20">
      <t>サイセツゾク</t>
    </rPh>
    <phoneticPr fontId="1"/>
  </si>
  <si>
    <t>SIP_COM04_RECONNECT_INTERVAL</t>
  </si>
  <si>
    <t>SIP_COM04_RECONNECT_DATA_CACHE</t>
  </si>
  <si>
    <t>SIP_COM03_RECONNECT_INTERVAL</t>
  </si>
  <si>
    <t>SIP_COM03_RECONNECT_DATA_CACHE</t>
  </si>
  <si>
    <t>SIP_COM01_RECONNECT_INTERVAL</t>
  </si>
  <si>
    <t>SIP_COM01_RECONNECT_DATA_CACHE</t>
  </si>
  <si>
    <t>SIP_COM02_RECONNECT_INTERVAL</t>
  </si>
  <si>
    <t>SIP_COM02_RECONNECT_DATA_CACHE</t>
  </si>
  <si>
    <t>SIP_COM05_RECONNECT_INTERVAL</t>
  </si>
  <si>
    <t>SIP_COM05_RECONNECT_DATA_CACHE</t>
  </si>
  <si>
    <t>SIP_COM06_RECONNECT_INTERVAL</t>
  </si>
  <si>
    <t>SIP_COM06_RECONNECT_DATA_CACHE</t>
  </si>
  <si>
    <t>SIP_COM07_RECONNECT_INTERVAL</t>
  </si>
  <si>
    <t>SIP_COM07_RECONNECT_DATA_CACHE</t>
  </si>
  <si>
    <t>SIP_COM08_RECONNECT_INTERVAL</t>
  </si>
  <si>
    <t>SIP_COM08_RECONNECT_DATA_CACHE</t>
  </si>
  <si>
    <t>SIP_COM09_RECONNECT_INTERVAL</t>
  </si>
  <si>
    <t>SIP_COM09_RECONNECT_DATA_CACHE</t>
  </si>
  <si>
    <t>SIP_COM10_RECONNECT_INTERVAL</t>
  </si>
  <si>
    <t>SIP_COM10_RECONNECT_DATA_CACHE</t>
  </si>
  <si>
    <t>SIP_COM11_RECONNECT_INTERVAL</t>
  </si>
  <si>
    <t>SIP_COM11_RECONNECT_DATA_CACHE</t>
  </si>
  <si>
    <t>SIP_COM12_RECONNECT_INTERVAL</t>
  </si>
  <si>
    <t>SIP_COM12_RECONNECT_DATA_CACHE</t>
  </si>
  <si>
    <t>SIP_COM13_PORT_NO</t>
  </si>
  <si>
    <t>SIP_COM13_RECONNECT_INTERVAL</t>
  </si>
  <si>
    <t>SIP_COM13_RECONNECT_DATA_CACHE</t>
  </si>
  <si>
    <t>SIP_COM14_RECONNECT_INTERVAL</t>
  </si>
  <si>
    <t>SIP_COM14_RECONNECT_DATA_CACHE</t>
  </si>
  <si>
    <t>SIP_COM15_RECONNECT_INTERVAL</t>
  </si>
  <si>
    <t>SIP_COM15_RECONNECT_DATA_CACHE</t>
  </si>
  <si>
    <t>SIP_COM16_RECONNECT_INTERVAL</t>
  </si>
  <si>
    <t>SIP_COM16_RECONNECT_DATA_CACHE</t>
  </si>
  <si>
    <t>SIP_COM17_RECONNECT_INTERVAL</t>
  </si>
  <si>
    <t>SIP_COM17_RECONNECT_DATA_CACHE</t>
  </si>
  <si>
    <t>SIP_COM18_RECONNECT_INTERVAL</t>
  </si>
  <si>
    <t>SIP_COM18_RECONNECT_DATA_CACHE</t>
  </si>
  <si>
    <t>SIP_COM19_RECONNECT_INTERVAL</t>
  </si>
  <si>
    <t>SIP_COM19_RECONNECT_DATA_CACHE</t>
  </si>
  <si>
    <t>SIP_COM20_RECONNECT_INTERVAL</t>
  </si>
  <si>
    <t>SIP_COM20_RECONNECT_DATA_CACHE</t>
  </si>
  <si>
    <t>SIP_COM21_RECONNECT_INTERVAL</t>
  </si>
  <si>
    <t>SIP_COM21_RECONNECT_DATA_CACHE</t>
  </si>
  <si>
    <t>SIP_COM22_RECONNECT_INTERVAL</t>
  </si>
  <si>
    <t>SIP_COM22_RECONNECT_DATA_CACHE</t>
  </si>
  <si>
    <t>SIP_COM23_RECONNECT_INTERVAL</t>
  </si>
  <si>
    <t>SIP_COM23_RECONNECT_DATA_CACHE</t>
  </si>
  <si>
    <t>SIP_COM24_RECONNECT_INTERVAL</t>
  </si>
  <si>
    <t>SIP_COM24_RECONNECT_DATA_CACHE</t>
  </si>
  <si>
    <t>SIP_COM25_RECONNECT_INTERVAL</t>
  </si>
  <si>
    <t>SIP_COM25_RECONNECT_DATA_CACHE</t>
  </si>
  <si>
    <t>SIP_COM26_RECONNECT_INTERVAL</t>
  </si>
  <si>
    <t>SIP_COM26_RECONNECT_DATA_CACHE</t>
  </si>
  <si>
    <t>SIP_COM27_RECONNECT_INTERVAL</t>
  </si>
  <si>
    <t>SIP_COM27_RECONNECT_DATA_CACHE</t>
  </si>
  <si>
    <t>SIP_COM28_RECONNECT_INTERVAL</t>
  </si>
  <si>
    <t>SIP_COM28_RECONNECT_DATA_CACHE</t>
  </si>
  <si>
    <t>SIP_COM29_RECONNECT_INTERVAL</t>
  </si>
  <si>
    <t>SIP_COM29_RECONNECT_DATA_CACHE</t>
  </si>
  <si>
    <t>SIP_COM30_RECONNECT_INTERVAL</t>
  </si>
  <si>
    <t>SIP_COM30_RECONNECT_DATA_CACHE</t>
  </si>
  <si>
    <t>SIP_COM31_RECONNECT_INTERVAL</t>
  </si>
  <si>
    <t>SIP_COM31_RECONNECT_DATA_CACHE</t>
  </si>
  <si>
    <t>SIP_COM32_RECONNECT_INTERVAL</t>
  </si>
  <si>
    <t>SIP_COM32_RECONNECT_DATA_CACHE</t>
  </si>
  <si>
    <t>SIP_COM33_RECONNECT_INTERVAL</t>
  </si>
  <si>
    <t>SIP_COM33_RECONNECT_DATA_CACHE</t>
  </si>
  <si>
    <t>SIP_COM34_RECONNECT_INTERVAL</t>
  </si>
  <si>
    <t>SIP_COM34_RECONNECT_DATA_CACHE</t>
  </si>
  <si>
    <t>SIP_COM35_RECONNECT_INTERVAL</t>
  </si>
  <si>
    <t>SIP_COM35_RECONNECT_DATA_CACHE</t>
  </si>
  <si>
    <t>SIP_COM36_RECONNECT_INTERVAL</t>
  </si>
  <si>
    <t>SIP_COM36_RECONNECT_DATA_CACHE</t>
  </si>
  <si>
    <t>SIP_COM37_RECONNECT_INTERVAL</t>
  </si>
  <si>
    <t>SIP_COM37_RECONNECT_DATA_CACHE</t>
  </si>
  <si>
    <t>SIP_COM38_RECONNECT_INTERVAL</t>
  </si>
  <si>
    <t>SIP_COM38_RECONNECT_DATA_CACHE</t>
  </si>
  <si>
    <t>SIP_COM39_RECONNECT_INTERVAL</t>
  </si>
  <si>
    <t>SIP_COM39_RECONNECT_DATA_CACHE</t>
  </si>
  <si>
    <t>SIP_COM40_RECONNECT_INTERVAL</t>
  </si>
  <si>
    <t>SIP_COM40_RECONNECT_DATA_CACHE</t>
  </si>
  <si>
    <t>SIP_COM41_RECONNECT_INTERVAL</t>
  </si>
  <si>
    <t>SIP_COM41_RECONNECT_DATA_CACHE</t>
  </si>
  <si>
    <t>SIP_COM42_RECONNECT_INTERVAL</t>
  </si>
  <si>
    <t>SIP_COM42_RECONNECT_DATA_CACHE</t>
  </si>
  <si>
    <t>SIP_COM43_RECONNECT_INTERVAL</t>
  </si>
  <si>
    <t>SIP_COM43_RECONNECT_DATA_CACHE</t>
  </si>
  <si>
    <t>SIP_COM44_RECONNECT_INTERVAL</t>
  </si>
  <si>
    <t>SIP_COM44_RECONNECT_DATA_CACHE</t>
  </si>
  <si>
    <t>SIP_COM45_RECONNECT_INTERVAL</t>
  </si>
  <si>
    <t>SIP_COM45_RECONNECT_DATA_CACHE</t>
  </si>
  <si>
    <t>SIP_COM46_RECONNECT_INTERVAL</t>
  </si>
  <si>
    <t>SIP_COM46_RECONNECT_DATA_CACHE</t>
  </si>
  <si>
    <t>SIP_COM47_RECONNECT_INTERVAL</t>
  </si>
  <si>
    <t>SIP_COM47_RECONNECT_DATA_CACHE</t>
  </si>
  <si>
    <t>SIP_COM48_RECONNECT_INTERVAL</t>
  </si>
  <si>
    <t>SIP_COM48_RECONNECT_DATA_CACHE</t>
  </si>
  <si>
    <t>SIP_COM49_RECONNECT_INTERVAL</t>
  </si>
  <si>
    <t>SIP_COM49_RECONNECT_DATA_CACHE</t>
  </si>
  <si>
    <t>SerialIP 追加　PHOENIX CONTACTデバイス対応</t>
    <rPh sb="9" eb="11">
      <t>ツイカ</t>
    </rPh>
    <rPh sb="31" eb="33">
      <t>タイオウ</t>
    </rPh>
    <phoneticPr fontId="1"/>
  </si>
  <si>
    <t>SIP_COM00_RECONNECT_DATA_CACHE</t>
    <phoneticPr fontId="1"/>
  </si>
  <si>
    <t>SerialIP COM00 接続断キャッシュ(0:無効|1:有効)</t>
  </si>
  <si>
    <t>SerialIP COM01 接続断キャッシュ(0:無効|1:有効)</t>
  </si>
  <si>
    <t>SerialIP COM02 接続断キャッシュ(0:無効|1:有効)</t>
  </si>
  <si>
    <t>SerialIP COM03 接続断キャッシュ(0:無効|1:有効)</t>
  </si>
  <si>
    <t>SerialIP COM04 接続断キャッシュ(0:無効|1:有効)</t>
  </si>
  <si>
    <t>SerialIP COM05 接続断キャッシュ(0:無効|1:有効)</t>
  </si>
  <si>
    <t>SerialIP COM06 接続断キャッシュ(0:無効|1:有効)</t>
  </si>
  <si>
    <t>SerialIP COM07 接続断キャッシュ(0:無効|1:有効)</t>
  </si>
  <si>
    <t>SerialIP COM08 接続断キャッシュ(0:無効|1:有効)</t>
  </si>
  <si>
    <t>SerialIP COM09 接続断キャッシュ(0:無効|1:有効)</t>
  </si>
  <si>
    <t>SerialIP COM10 接続断キャッシュ(0:無効|1:有効)</t>
  </si>
  <si>
    <t>SerialIP COM11 接続断キャッシュ(0:無効|1:有効)</t>
  </si>
  <si>
    <t>SerialIP COM12 接続断キャッシュ(0:無効|1:有効)</t>
  </si>
  <si>
    <t>SerialIP COM13 接続断キャッシュ(0:無効|1:有効)</t>
  </si>
  <si>
    <t>SerialIP COM14 接続断キャッシュ(0:無効|1:有効)</t>
  </si>
  <si>
    <t>SerialIP COM15 接続断キャッシュ(0:無効|1:有効)</t>
  </si>
  <si>
    <t>SerialIP COM16 接続断キャッシュ(0:無効|1:有効)</t>
  </si>
  <si>
    <t>SerialIP COM17 接続断キャッシュ(0:無効|1:有効)</t>
  </si>
  <si>
    <t>SerialIP COM18 接続断キャッシュ(0:無効|1:有効)</t>
  </si>
  <si>
    <t>SerialIP COM19 接続断キャッシュ(0:無効|1:有効)</t>
  </si>
  <si>
    <t>SerialIP COM20 接続断キャッシュ(0:無効|1:有効)</t>
  </si>
  <si>
    <t>SerialIP COM21 接続断キャッシュ(0:無効|1:有効)</t>
  </si>
  <si>
    <t>SerialIP COM22 接続断キャッシュ(0:無効|1:有効)</t>
  </si>
  <si>
    <t>SerialIP COM23 接続断キャッシュ(0:無効|1:有効)</t>
  </si>
  <si>
    <t>SerialIP COM24 接続断キャッシュ(0:無効|1:有効)</t>
  </si>
  <si>
    <t>SerialIP COM25 接続断キャッシュ(0:無効|1:有効)</t>
  </si>
  <si>
    <t>SerialIP COM26 接続断キャッシュ(0:無効|1:有効)</t>
  </si>
  <si>
    <t>SerialIP COM27 接続断キャッシュ(0:無効|1:有効)</t>
  </si>
  <si>
    <t>SerialIP COM28 接続断キャッシュ(0:無効|1:有効)</t>
  </si>
  <si>
    <t>SerialIP COM29 接続断キャッシュ(0:無効|1:有効)</t>
  </si>
  <si>
    <t>SerialIP COM30 接続断キャッシュ(0:無効|1:有効)</t>
  </si>
  <si>
    <t>SerialIP COM31 接続断キャッシュ(0:無効|1:有効)</t>
  </si>
  <si>
    <t>SerialIP COM32 接続断キャッシュ(0:無効|1:有効)</t>
  </si>
  <si>
    <t>SerialIP COM33 接続断キャッシュ(0:無効|1:有効)</t>
  </si>
  <si>
    <t>SerialIP COM34 接続断キャッシュ(0:無効|1:有効)</t>
  </si>
  <si>
    <t>SerialIP COM35 接続断キャッシュ(0:無効|1:有効)</t>
  </si>
  <si>
    <t>SerialIP COM36 接続断キャッシュ(0:無効|1:有効)</t>
  </si>
  <si>
    <t>SerialIP COM37 接続断キャッシュ(0:無効|1:有効)</t>
  </si>
  <si>
    <t>SerialIP COM38 接続断キャッシュ(0:無効|1:有効)</t>
  </si>
  <si>
    <t>SerialIP COM39 接続断キャッシュ(0:無効|1:有効)</t>
  </si>
  <si>
    <t>SerialIP COM40 接続断キャッシュ(0:無効|1:有効)</t>
  </si>
  <si>
    <t>SerialIP COM41 接続断キャッシュ(0:無効|1:有効)</t>
  </si>
  <si>
    <t>SerialIP COM42 接続断キャッシュ(0:無効|1:有効)</t>
  </si>
  <si>
    <t>SerialIP COM43 接続断キャッシュ(0:無効|1:有効)</t>
  </si>
  <si>
    <t>SerialIP COM44 接続断キャッシュ(0:無効|1:有効)</t>
  </si>
  <si>
    <t>SerialIP COM45 接続断キャッシュ(0:無効|1:有効)</t>
  </si>
  <si>
    <t>SerialIP COM46 接続断キャッシュ(0:無効|1:有効)</t>
  </si>
  <si>
    <t>SerialIP COM47 接続断キャッシュ(0:無効|1:有効)</t>
  </si>
  <si>
    <t>SerialIP COM48 接続断キャッシュ(0:無効|1:有効)</t>
  </si>
  <si>
    <t>SerialIP COM49 接続断キャッシュ(0:無効|1:有効)</t>
  </si>
  <si>
    <t>SIP_PHOENIX_SELECT_PORT</t>
    <phoneticPr fontId="1"/>
  </si>
  <si>
    <t>PHOENIX CONTACT実行ファイルパス</t>
    <rPh sb="15" eb="17">
      <t>ジッコウ</t>
    </rPh>
    <phoneticPr fontId="1"/>
  </si>
  <si>
    <t>C:\Program Files (x86)\Phoenix Contact\FL COM Port Redirector\FL COM Port Redirector.exe</t>
    <phoneticPr fontId="1"/>
  </si>
  <si>
    <t>WebAPIのFirewall追加</t>
    <rPh sb="15" eb="17">
      <t>ツイカ</t>
    </rPh>
    <phoneticPr fontId="1"/>
  </si>
  <si>
    <t>COM_PORT</t>
    <phoneticPr fontId="1"/>
  </si>
  <si>
    <t>ネットワークポート（データ範囲チェック用）</t>
    <rPh sb="13" eb="15">
      <t>ハンイ</t>
    </rPh>
    <rPh sb="19" eb="20">
      <t>ヨウ</t>
    </rPh>
    <phoneticPr fontId="1"/>
  </si>
  <si>
    <t>各種ポートチェック用</t>
    <rPh sb="0" eb="2">
      <t>カクシュ</t>
    </rPh>
    <rPh sb="9" eb="10">
      <t>ヨウ</t>
    </rPh>
    <phoneticPr fontId="1"/>
  </si>
  <si>
    <t>Firewall 設定タイミング（0:起動時、起動中、1:アップデート, -1:無効（設定のみ）)</t>
    <rPh sb="19" eb="21">
      <t>キドウ</t>
    </rPh>
    <rPh sb="21" eb="22">
      <t>ジ</t>
    </rPh>
    <rPh sb="23" eb="25">
      <t>キドウ</t>
    </rPh>
    <rPh sb="25" eb="26">
      <t>チュウ</t>
    </rPh>
    <rPh sb="43" eb="45">
      <t>セッテイ</t>
    </rPh>
    <phoneticPr fontId="1"/>
  </si>
  <si>
    <t>解像度周波数制限解放</t>
    <rPh sb="0" eb="3">
      <t>カイゾウド</t>
    </rPh>
    <rPh sb="3" eb="6">
      <t>シュウハスウ</t>
    </rPh>
    <rPh sb="6" eb="8">
      <t>セイゲン</t>
    </rPh>
    <rPh sb="8" eb="10">
      <t>カイホウ</t>
    </rPh>
    <phoneticPr fontId="1"/>
  </si>
  <si>
    <t>画面解像度の周波数 選択制限</t>
    <rPh sb="6" eb="9">
      <t>シュウハスウ</t>
    </rPh>
    <rPh sb="10" eb="12">
      <t>センタク</t>
    </rPh>
    <rPh sb="12" eb="14">
      <t>セイゲン</t>
    </rPh>
    <phoneticPr fontId="1"/>
  </si>
  <si>
    <t>画面解像度の色ビット 選択制限</t>
    <rPh sb="6" eb="7">
      <t>イロ</t>
    </rPh>
    <phoneticPr fontId="1"/>
  </si>
  <si>
    <t>0x00000040</t>
    <phoneticPr fontId="1"/>
  </si>
  <si>
    <t>IOTDS_SCREEN_RESOLUTION_RRATE_DEF</t>
    <phoneticPr fontId="1"/>
  </si>
  <si>
    <t>IOTDS_SCREEN_RESOLUTION_BITS_DEF</t>
    <phoneticPr fontId="1"/>
  </si>
  <si>
    <t>IOTDS_SCREEN_RESOLUTION_RRATE</t>
    <phoneticPr fontId="1"/>
  </si>
  <si>
    <t>SerialIP HMS サーバーアドレス</t>
  </si>
  <si>
    <t>SerialIP HMS サーバーポート</t>
  </si>
  <si>
    <t>SIP_HMS_SERVER_PORT</t>
  </si>
  <si>
    <t>SerialIP HMS 送信有効フラグ(0:無効|1:有効)</t>
  </si>
  <si>
    <t>SIP_HMS_OUTBOUND_ENABLED</t>
  </si>
  <si>
    <t>SerialIP HMS 受信ポート</t>
  </si>
  <si>
    <t>SIP_HMS_INCOMING_PORT</t>
  </si>
  <si>
    <t>SerialIP HMS 受信有効フラグ(0:無効|1:有効)</t>
  </si>
  <si>
    <t>SIP_HMS_INBOUND_ENABLED</t>
  </si>
  <si>
    <t>SerialIP HMS Telnetプロトコル(0:None|1:TSTelnet|2:CrPadding)</t>
  </si>
  <si>
    <t>SIP_HMS_TELNET_PROTOCOL</t>
  </si>
  <si>
    <t>SerialIP HMS DCDエミュレーション(0:None|1:AlwaysHigh|2:AlwaysLow|3:TrackConnection)</t>
  </si>
  <si>
    <t>SIP_HMS_DCD_EMULATION</t>
  </si>
  <si>
    <t>SerialIP HMS DSRエミュレーション(0:None|1:AlwaysHigh|2:AlwaysLow|3:TrackConnection)</t>
  </si>
  <si>
    <t>SIP_HMS_DSR_EMULATION</t>
  </si>
  <si>
    <t>SerialIP HMS CTSエミュレーション(0:None|1:AlwaysHigh|2:AlwaysLow|3:TrackConnection)</t>
  </si>
  <si>
    <t>SIP_HMS_CTS_EMULATION</t>
  </si>
  <si>
    <t>SerialIP HMS DTRモデムエスケープフラグ(0:無効|1:有効)</t>
  </si>
  <si>
    <t>SIP_HMS_DTR_IS_MODEM_SCAPE</t>
  </si>
  <si>
    <t>SerialIP HMS Failed接続復元フラグ(0:無効|1:有効)</t>
  </si>
  <si>
    <t>SIP_HMS_RESTORE_FAILED_CONNECTS</t>
  </si>
  <si>
    <t>SerialIP HMS ユーザー認証(0:None|1:PromptAtLogin|2:Windows|3:Fixed|4:PromptAtPortOpen)</t>
  </si>
  <si>
    <t>SIP_HMS_USER_AUTHENTICATION</t>
  </si>
  <si>
    <t>SerialIP HMS ユーザー名</t>
  </si>
  <si>
    <t>SIP_HMS_USERNAME</t>
  </si>
  <si>
    <t>SerialIP HMS パスワード</t>
  </si>
  <si>
    <t>SIP_HMS_PASSWORD</t>
  </si>
  <si>
    <t>SerialIP HMS 暗号化プロトコル(0:None|1:SSLv3|2:TLSv1|3:Any)</t>
  </si>
  <si>
    <t>SIP_HMS_ENCRYPTION_PROTOCOL</t>
  </si>
  <si>
    <t>SerialIP HMS 自動再接続再接続周期</t>
  </si>
  <si>
    <t>SIP_HMS_RECONNECT_INTERVAL</t>
  </si>
  <si>
    <t>SerialIP HMS 接続断キャッシュ(0:無効|1:有効)</t>
  </si>
  <si>
    <t>SIP_HMS_RECONNECT_DATA_CACHE</t>
  </si>
  <si>
    <t>SerialIP PHOENIX サーバーポート</t>
  </si>
  <si>
    <t>SIP_PHOENIX_SERVER_PORT</t>
  </si>
  <si>
    <t>SerialIP PHOENIX 送信有効フラグ(0:無効|1:有効)</t>
  </si>
  <si>
    <t>SIP_PHOENIX_OUTBOUND_ENABLED</t>
  </si>
  <si>
    <t>SerialIP PHOENIX 受信ポート</t>
  </si>
  <si>
    <t>SIP_PHOENIX_INCOMING_PORT</t>
  </si>
  <si>
    <t>SerialIP PHOENIX 受信有効フラグ(0:無効|1:有効)</t>
  </si>
  <si>
    <t>SIP_PHOENIX_INBOUND_ENABLED</t>
  </si>
  <si>
    <t>SerialIP PHOENIX Telnetプロトコル(0:None|1:TSTelnet|2:CrPadding)</t>
  </si>
  <si>
    <t>SIP_PHOENIX_TELNET_PROTOCOL</t>
  </si>
  <si>
    <t>SerialIP PHOENIX DCDエミュレーション(0:None|1:AlwaysHigh|2:AlwaysLow|3:TrackConnection)</t>
  </si>
  <si>
    <t>SIP_PHOENIX_DCD_EMULATION</t>
  </si>
  <si>
    <t>SerialIP PHOENIX DSRエミュレーション(0:None|1:AlwaysHigh|2:AlwaysLow|3:TrackConnection)</t>
  </si>
  <si>
    <t>SIP_PHOENIX_DSR_EMULATION</t>
  </si>
  <si>
    <t>SerialIP PHOENIX CTSエミュレーション(0:None|1:AlwaysHigh|2:AlwaysLow|3:TrackConnection)</t>
  </si>
  <si>
    <t>SIP_PHOENIX_CTS_EMULATION</t>
  </si>
  <si>
    <t>SerialIP PHOENIX DTRモデムエスケープフラグ(0:無効|1:有効)</t>
  </si>
  <si>
    <t>SIP_PHOENIX_DTR_IS_MODEM_SCAPE</t>
  </si>
  <si>
    <t>SerialIP PHOENIX Failed接続復元フラグ(0:無効|1:有効)</t>
  </si>
  <si>
    <t>SIP_PHOENIX_RESTORE_FAILED_CONNECTS</t>
  </si>
  <si>
    <t>SerialIP PHOENIX ユーザー認証(0:None|1:PromptAtLogin|2:Windows|3:Fixed|4:PromptAtPortOpen)</t>
  </si>
  <si>
    <t>SIP_PHOENIX_USER_AUTHENTICATION</t>
  </si>
  <si>
    <t>SerialIP PHOENIX ユーザー名</t>
  </si>
  <si>
    <t>SIP_PHOENIX_USERNAME</t>
  </si>
  <si>
    <t>SerialIP PHOENIX パスワード</t>
  </si>
  <si>
    <t>SIP_PHOENIX_PASSWORD</t>
  </si>
  <si>
    <t>SerialIP PHOENIX 暗号化プロトコル(0:None|1:SSLv3|2:TLSv1|3:Any)</t>
  </si>
  <si>
    <t>SIP_PHOENIX_ENCRYPTION_PROTOCOL</t>
  </si>
  <si>
    <t>SerialIP PHOENIX 自動再接続再接続周期</t>
  </si>
  <si>
    <t>SIP_PHOENIX_RECONNECT_INTERVAL</t>
  </si>
  <si>
    <t>SerialIP PHOENIX 接続断キャッシュ(0:無効|1:有効)</t>
  </si>
  <si>
    <t>SIP_PHOENIX_RECONNECT_DATA_CACHE</t>
  </si>
  <si>
    <t>SerialIP 初期値追加</t>
    <rPh sb="9" eb="12">
      <t>ショキチ</t>
    </rPh>
    <rPh sb="12" eb="14">
      <t>ツイカ</t>
    </rPh>
    <phoneticPr fontId="1"/>
  </si>
  <si>
    <t>0x00000041</t>
    <phoneticPr fontId="1"/>
  </si>
  <si>
    <t>SIP_HMS_SERVER_ADDRESS</t>
    <phoneticPr fontId="1"/>
  </si>
  <si>
    <t>SIP_HMS_INITIALIZE</t>
    <phoneticPr fontId="1"/>
  </si>
  <si>
    <t>SIP_PHOENIX_SERVER_ADDRESS</t>
    <phoneticPr fontId="1"/>
  </si>
  <si>
    <t>SIP_PHOENIX_INITIALIZE</t>
    <phoneticPr fontId="1"/>
  </si>
  <si>
    <t>SerialIP PHOENIX サーバーアドレス</t>
    <phoneticPr fontId="1"/>
  </si>
  <si>
    <t>SerialIP PHOENIX Port追加時 初期化データ設定フラグ</t>
    <rPh sb="21" eb="23">
      <t>ツイカ</t>
    </rPh>
    <rPh sb="23" eb="24">
      <t>ジ</t>
    </rPh>
    <rPh sb="25" eb="27">
      <t>ショキ</t>
    </rPh>
    <rPh sb="27" eb="28">
      <t>バ</t>
    </rPh>
    <rPh sb="31" eb="33">
      <t>セッテイ</t>
    </rPh>
    <phoneticPr fontId="1"/>
  </si>
  <si>
    <t>SerialIP HMS Port追加時 初期化データ設定フラグ</t>
    <phoneticPr fontId="1"/>
  </si>
  <si>
    <t>○ HMS使用データ</t>
  </si>
  <si>
    <t>○ Phoenix使用データ</t>
  </si>
  <si>
    <t>SIP_PHOENIX_CONTACT_FILEPATH</t>
    <phoneticPr fontId="1"/>
  </si>
  <si>
    <t>%IOTDSERVER%\Bin,..\..\..\Bin,.\Dat</t>
    <phoneticPr fontId="1"/>
  </si>
  <si>
    <t>..\..\Src.IoTDSCore\Shared</t>
    <phoneticPr fontId="1"/>
  </si>
  <si>
    <t>筒井</t>
    <rPh sb="0" eb="2">
      <t>ツツイ</t>
    </rPh>
    <phoneticPr fontId="1"/>
  </si>
  <si>
    <t>接続テスト時、値設定と接続の待ち時間追加</t>
    <rPh sb="0" eb="2">
      <t>セツゾク</t>
    </rPh>
    <rPh sb="5" eb="6">
      <t>ジ</t>
    </rPh>
    <rPh sb="7" eb="8">
      <t>アタイ</t>
    </rPh>
    <rPh sb="8" eb="10">
      <t>セッテイ</t>
    </rPh>
    <rPh sb="11" eb="13">
      <t>セツゾク</t>
    </rPh>
    <rPh sb="14" eb="15">
      <t>マ</t>
    </rPh>
    <rPh sb="16" eb="18">
      <t>ジカン</t>
    </rPh>
    <rPh sb="18" eb="20">
      <t>ツイカ</t>
    </rPh>
    <phoneticPr fontId="1"/>
  </si>
  <si>
    <t>SerialIP 接続設定と接続テスト間の待ち時間</t>
    <rPh sb="9" eb="11">
      <t>セツゾク</t>
    </rPh>
    <rPh sb="11" eb="13">
      <t>セッテイ</t>
    </rPh>
    <rPh sb="14" eb="16">
      <t>セツゾク</t>
    </rPh>
    <rPh sb="19" eb="20">
      <t>カン</t>
    </rPh>
    <rPh sb="21" eb="22">
      <t>マ</t>
    </rPh>
    <rPh sb="23" eb="25">
      <t>ジカン</t>
    </rPh>
    <phoneticPr fontId="1"/>
  </si>
  <si>
    <t>SIP_CONTACT_SET_CONNECT_WAITTIME</t>
    <phoneticPr fontId="1"/>
  </si>
  <si>
    <t>0x00000042</t>
    <phoneticPr fontId="1"/>
  </si>
  <si>
    <t>UPS_APC_TYPE_LIST_Z</t>
    <phoneticPr fontId="1"/>
  </si>
  <si>
    <t>中国語対応</t>
    <rPh sb="0" eb="3">
      <t>チュウゴクゴ</t>
    </rPh>
    <rPh sb="3" eb="5">
      <t>タイオウ</t>
    </rPh>
    <phoneticPr fontId="1"/>
  </si>
  <si>
    <r>
      <t>Smart-UPS(要modbus</t>
    </r>
    <r>
      <rPr>
        <sz val="11"/>
        <rFont val="ＭＳ Ｐゴシック"/>
        <family val="3"/>
        <charset val="134"/>
        <scheme val="minor"/>
      </rPr>
      <t>设</t>
    </r>
    <r>
      <rPr>
        <sz val="11"/>
        <rFont val="ＭＳ Ｐゴシック"/>
        <family val="3"/>
        <charset val="128"/>
        <scheme val="minor"/>
      </rPr>
      <t>定),Smart-UPS以外</t>
    </r>
    <rPh sb="10" eb="11">
      <t>ヨウ</t>
    </rPh>
    <rPh sb="30" eb="32">
      <t>イガイ</t>
    </rPh>
    <phoneticPr fontId="1"/>
  </si>
  <si>
    <r>
      <t>「要modbus設定」を「要modbus</t>
    </r>
    <r>
      <rPr>
        <sz val="11"/>
        <color theme="1"/>
        <rFont val="ＭＳ Ｐゴシック"/>
        <family val="3"/>
        <charset val="134"/>
        <scheme val="minor"/>
      </rPr>
      <t>设</t>
    </r>
    <r>
      <rPr>
        <sz val="11"/>
        <color theme="1"/>
        <rFont val="ＭＳ Ｐゴシック"/>
        <family val="2"/>
        <scheme val="minor"/>
      </rPr>
      <t>定」に変更
cs/h/cppファイルUTF-8化</t>
    </r>
    <rPh sb="8" eb="10">
      <t>セッテイ</t>
    </rPh>
    <rPh sb="24" eb="26">
      <t>ヘンコウ</t>
    </rPh>
    <rPh sb="44" eb="45">
      <t>バ</t>
    </rPh>
    <phoneticPr fontId="1"/>
  </si>
  <si>
    <t>0x00000043</t>
    <phoneticPr fontId="1"/>
  </si>
  <si>
    <t xml:space="preserve">SNMP設定 受け付けるコミュニティ名リスト(forDN) </t>
    <rPh sb="4" eb="6">
      <t>セッテイ</t>
    </rPh>
    <phoneticPr fontId="1"/>
  </si>
  <si>
    <t>IOTDS_SNMP_ACCEPT_LIST_DN</t>
    <phoneticPr fontId="1"/>
  </si>
  <si>
    <t>SNMP設定 サービス有効フラグ(forDN)(0:無効|1:有効)</t>
    <rPh sb="11" eb="13">
      <t>ユウコウ</t>
    </rPh>
    <phoneticPr fontId="1"/>
  </si>
  <si>
    <t>IOTDS_SNMP_ENABLE_DN</t>
    <phoneticPr fontId="1"/>
  </si>
  <si>
    <t>OPSRAMP_ENABLE</t>
    <phoneticPr fontId="1"/>
  </si>
  <si>
    <t>読み取り専用</t>
    <rPh sb="0" eb="1">
      <t>ヨ</t>
    </rPh>
    <rPh sb="2" eb="3">
      <t>ト</t>
    </rPh>
    <rPh sb="4" eb="6">
      <t>センヨウ</t>
    </rPh>
    <phoneticPr fontId="1"/>
  </si>
  <si>
    <t>0x00000044</t>
    <phoneticPr fontId="1"/>
  </si>
  <si>
    <t>湯山</t>
    <rPh sb="0" eb="2">
      <t>ユヤマ</t>
    </rPh>
    <phoneticPr fontId="1"/>
  </si>
  <si>
    <t>管制センター連携追加
SNMP設定(forDN)追加</t>
    <rPh sb="0" eb="2">
      <t>カンセイ</t>
    </rPh>
    <rPh sb="6" eb="8">
      <t>レンケイ</t>
    </rPh>
    <rPh sb="8" eb="10">
      <t>ツイカ</t>
    </rPh>
    <rPh sb="15" eb="17">
      <t>セッテイ</t>
    </rPh>
    <rPh sb="24" eb="26">
      <t>ツイカ</t>
    </rPh>
    <phoneticPr fontId="1"/>
  </si>
  <si>
    <t>管制センターチェック有効(0:無効|1:有効)</t>
    <phoneticPr fontId="1"/>
  </si>
  <si>
    <t>IoT_Data_Server\4</t>
    <phoneticPr fontId="1"/>
  </si>
  <si>
    <t>OpsRamp固定SNMP名「IoT_Data_Server」指定</t>
    <rPh sb="7" eb="9">
      <t>コテイ</t>
    </rPh>
    <rPh sb="13" eb="14">
      <t>メイ</t>
    </rPh>
    <rPh sb="31" eb="33">
      <t>シテイ</t>
    </rPh>
    <phoneticPr fontId="1"/>
  </si>
  <si>
    <t>C:\Program Files (x86)\Vistara\Agent\log,AgentLog.log,3</t>
    <phoneticPr fontId="1"/>
  </si>
  <si>
    <t>OPSRAMP_LOG_FILE_INFO_AGENT</t>
    <phoneticPr fontId="1"/>
  </si>
  <si>
    <t>OPSRAMP_LOG_FILE_INFO_SHIELD</t>
    <phoneticPr fontId="1"/>
  </si>
  <si>
    <t>OpsRampログファイル情報（VistraAgent）</t>
    <rPh sb="13" eb="15">
      <t>ジョウホウ</t>
    </rPh>
    <phoneticPr fontId="1"/>
  </si>
  <si>
    <t>OpsRampログファイル情報（VistraShield）</t>
    <rPh sb="13" eb="15">
      <t>ジョウホウ</t>
    </rPh>
    <phoneticPr fontId="1"/>
  </si>
  <si>
    <t>パス,ファイル名,世代番号</t>
    <rPh sb="7" eb="8">
      <t>メイ</t>
    </rPh>
    <rPh sb="9" eb="11">
      <t>セダイ</t>
    </rPh>
    <rPh sb="11" eb="13">
      <t>バンゴウ</t>
    </rPh>
    <phoneticPr fontId="1"/>
  </si>
  <si>
    <t>0x00000045</t>
    <phoneticPr fontId="1"/>
  </si>
  <si>
    <t>OPSRAMP_SERVER_PORT</t>
    <phoneticPr fontId="1"/>
  </si>
  <si>
    <t>OpsRampサーバアドレス</t>
    <phoneticPr fontId="1"/>
  </si>
  <si>
    <t>OpsRampサーバポート（接続確認テスト）</t>
    <rPh sb="14" eb="16">
      <t>セツゾク</t>
    </rPh>
    <rPh sb="16" eb="18">
      <t>カクニン</t>
    </rPh>
    <phoneticPr fontId="1"/>
  </si>
  <si>
    <t>OPSRAMP_SERVER_ADDR</t>
    <phoneticPr fontId="1"/>
  </si>
  <si>
    <t>UPS_APC_STATUS_COMMAND</t>
    <phoneticPr fontId="1"/>
  </si>
  <si>
    <t>C:\apcupsd\bin\apcaccess.exe</t>
    <phoneticPr fontId="1"/>
  </si>
  <si>
    <t>ステータス確認実行コマンドファイル（UPSメーカーAPC)</t>
    <rPh sb="5" eb="7">
      <t>カクニン</t>
    </rPh>
    <rPh sb="7" eb="9">
      <t>ジッコウ</t>
    </rPh>
    <phoneticPr fontId="1"/>
  </si>
  <si>
    <t>IDSC_UPS_WATCH_INTERVAL</t>
    <phoneticPr fontId="1"/>
  </si>
  <si>
    <t>UPS監視周期[s]</t>
    <phoneticPr fontId="1"/>
  </si>
  <si>
    <t>UPS監視開始待ち時間[s]</t>
    <rPh sb="5" eb="7">
      <t>カイシ</t>
    </rPh>
    <rPh sb="7" eb="8">
      <t>マ</t>
    </rPh>
    <rPh sb="9" eb="11">
      <t>ジカン</t>
    </rPh>
    <phoneticPr fontId="1"/>
  </si>
  <si>
    <t>IDSC_UPS_WATCH_START_WAIT</t>
    <phoneticPr fontId="1"/>
  </si>
  <si>
    <t>IDSC_FAN_SPEED_BUFFERING</t>
    <phoneticPr fontId="1"/>
  </si>
  <si>
    <t>ファン速度バッファリング数</t>
    <rPh sb="3" eb="5">
      <t>ソクド</t>
    </rPh>
    <rPh sb="12" eb="13">
      <t>スウ</t>
    </rPh>
    <phoneticPr fontId="1"/>
  </si>
  <si>
    <t>ファン速度取得周期[s]</t>
    <rPh sb="5" eb="7">
      <t>シュトク</t>
    </rPh>
    <phoneticPr fontId="1"/>
  </si>
  <si>
    <t>IDSC_FAN_SPEED_GET_INTERVAL</t>
    <phoneticPr fontId="1"/>
  </si>
  <si>
    <t>ステータス確認実行コマンドファイル（UPSメーカーAPC)追加
UPS監視待ち時間追加
FAN速度バッファリング設定追加
FAN速度取得間隔設定追加</t>
    <rPh sb="29" eb="31">
      <t>ツイカ</t>
    </rPh>
    <rPh sb="35" eb="37">
      <t>カンシ</t>
    </rPh>
    <rPh sb="37" eb="38">
      <t>マ</t>
    </rPh>
    <rPh sb="39" eb="41">
      <t>ジカン</t>
    </rPh>
    <rPh sb="41" eb="43">
      <t>ツイカ</t>
    </rPh>
    <rPh sb="47" eb="49">
      <t>ソクド</t>
    </rPh>
    <rPh sb="56" eb="58">
      <t>セッテイ</t>
    </rPh>
    <rPh sb="58" eb="60">
      <t>ツイカ</t>
    </rPh>
    <rPh sb="66" eb="68">
      <t>シュトク</t>
    </rPh>
    <rPh sb="68" eb="70">
      <t>カンカク</t>
    </rPh>
    <rPh sb="70" eb="72">
      <t>セッテイ</t>
    </rPh>
    <rPh sb="72" eb="74">
      <t>ツイカ</t>
    </rPh>
    <phoneticPr fontId="1"/>
  </si>
  <si>
    <t>SMART_VENDOR1_DISK1</t>
    <phoneticPr fontId="1"/>
  </si>
  <si>
    <t>SMART_VENDOR1_DISK2</t>
    <phoneticPr fontId="1"/>
  </si>
  <si>
    <t>Beckhoff</t>
    <phoneticPr fontId="1"/>
  </si>
  <si>
    <t>ディスクS.M.A.R.T情報（IPCベンダー別 1）</t>
    <rPh sb="13" eb="15">
      <t>ジョウホウ</t>
    </rPh>
    <phoneticPr fontId="1"/>
  </si>
  <si>
    <t>ディスクS.M.A.R.T情報（IPCベンダー別 2）</t>
    <rPh sb="13" eb="15">
      <t>ジョウホウ</t>
    </rPh>
    <phoneticPr fontId="1"/>
  </si>
  <si>
    <t>SMART_VENDOR2_DISK1</t>
    <phoneticPr fontId="1"/>
  </si>
  <si>
    <t>SMART_VENDOR2_DISK2</t>
    <phoneticPr fontId="1"/>
  </si>
  <si>
    <t>ディスクS.M.A.R.T情報（IPCベンダー別 3）</t>
    <rPh sb="13" eb="15">
      <t>ジョウホウ</t>
    </rPh>
    <phoneticPr fontId="1"/>
  </si>
  <si>
    <t>SMART_VENDOR3_DISK1</t>
    <phoneticPr fontId="1"/>
  </si>
  <si>
    <t>SMART_VENDOR3_DISK2</t>
    <phoneticPr fontId="1"/>
  </si>
  <si>
    <t>SMART_NOT_CLASSIFY</t>
    <phoneticPr fontId="1"/>
  </si>
  <si>
    <t>ディスクS.M.A.R.T情報（任意デバイス）</t>
    <rPh sb="13" eb="15">
      <t>ジョウホウ</t>
    </rPh>
    <rPh sb="16" eb="18">
      <t>ニンイ</t>
    </rPh>
    <phoneticPr fontId="1"/>
  </si>
  <si>
    <t>0x09:Power-On Hours
0x0C:Power Cycle Count
0xC2:Temperature Temperature(Min) Temperature(Max.)</t>
    <phoneticPr fontId="1"/>
  </si>
  <si>
    <t>SSD S.M.A.R.T共通</t>
    <rPh sb="13" eb="15">
      <t>キョウツウ</t>
    </rPh>
    <phoneticPr fontId="1"/>
  </si>
  <si>
    <t>ADLink</t>
    <phoneticPr fontId="1"/>
  </si>
  <si>
    <t>Dell</t>
    <phoneticPr fontId="1"/>
  </si>
  <si>
    <t>0x00000046</t>
    <phoneticPr fontId="1"/>
  </si>
  <si>
    <t>S.M.A.R.T情報 追加</t>
    <rPh sb="9" eb="11">
      <t>ジョウホウ</t>
    </rPh>
    <rPh sb="12" eb="14">
      <t>ツイカ</t>
    </rPh>
    <phoneticPr fontId="1"/>
  </si>
  <si>
    <t>SerialIP COM40 CTSエミュレーション(0:None|1:AlwaysHigh|2:AlwaysLow|3:TrackConnection)</t>
    <phoneticPr fontId="1"/>
  </si>
  <si>
    <t>SIP_COM40_CTS_EMULATION</t>
    <phoneticPr fontId="1"/>
  </si>
  <si>
    <t>Vendor Specific</t>
    <phoneticPr fontId="1"/>
  </si>
  <si>
    <t>SMART_VENDOR_SPEC</t>
    <phoneticPr fontId="1"/>
  </si>
  <si>
    <t>ディスクS.M.A.R.T情報（ベンダ固有文字）</t>
    <rPh sb="13" eb="15">
      <t>ジョウホウ</t>
    </rPh>
    <rPh sb="19" eb="21">
      <t>コユウ</t>
    </rPh>
    <rPh sb="21" eb="23">
      <t>モジ</t>
    </rPh>
    <phoneticPr fontId="1"/>
  </si>
  <si>
    <t>SMART_DISK_MODEL</t>
    <phoneticPr fontId="1"/>
  </si>
  <si>
    <t>Physical drive number
Model name
Firmware revision
Serial number</t>
    <phoneticPr fontId="1"/>
  </si>
  <si>
    <t>ディスクS.M.A.R.T情報（モデル情報）</t>
    <rPh sb="13" eb="15">
      <t>ジョウホウ</t>
    </rPh>
    <rPh sb="19" eb="21">
      <t>ジョウホウ</t>
    </rPh>
    <phoneticPr fontId="1"/>
  </si>
  <si>
    <t>ディスクS.M.A.R.T情報（IDのフォーマット使用種別）</t>
    <rPh sb="13" eb="15">
      <t>ジョウホウ</t>
    </rPh>
    <rPh sb="25" eb="27">
      <t>シヨウ</t>
    </rPh>
    <rPh sb="27" eb="29">
      <t>シュベツ</t>
    </rPh>
    <phoneticPr fontId="1"/>
  </si>
  <si>
    <t>SMART_ID_VALUE_FORMAT_TYPE</t>
    <phoneticPr fontId="1"/>
  </si>
  <si>
    <t>SMART_MODEL_FORMAT</t>
    <phoneticPr fontId="1"/>
  </si>
  <si>
    <t xml:space="preserve">  %-22s : %s</t>
    <phoneticPr fontId="1"/>
  </si>
  <si>
    <t>SMART_ID_VALUE_FORMAT_1</t>
    <phoneticPr fontId="1"/>
  </si>
  <si>
    <t xml:space="preserve">0:SMART_ID_VALUE_FORMAT_0
1:SMART_ID_VALUE_FORMAT_1
2:SMART_ID_VALUE_FORMAT_2
3:詳細データを出力(SMART_ID_VALUE_FORMAT_1)
4:生値、詳細データを出力(SMART_ID_VALUE_FORMAT_0/1)
</t>
    <rPh sb="80" eb="82">
      <t>ショウサイ</t>
    </rPh>
    <rPh sb="86" eb="88">
      <t>シュツリョク</t>
    </rPh>
    <phoneticPr fontId="1"/>
  </si>
  <si>
    <t>SMART_ID_VALUE_FORMAT_0</t>
    <phoneticPr fontId="1"/>
  </si>
  <si>
    <t>SMART_ID_VALUE_FORMAT_2</t>
    <phoneticPr fontId="1"/>
  </si>
  <si>
    <t>0x%012llX</t>
    <phoneticPr fontId="1"/>
  </si>
  <si>
    <t xml:space="preserve">    0x%02X, %-50s, %s</t>
    <phoneticPr fontId="1"/>
  </si>
  <si>
    <t>%lld</t>
    <phoneticPr fontId="1"/>
  </si>
  <si>
    <t>0x%012llX (%lld)</t>
    <phoneticPr fontId="1"/>
  </si>
  <si>
    <t>ディスクS.M.A.R.T情報（IDのフォーマット先頭）</t>
    <rPh sb="13" eb="15">
      <t>ジョウホウ</t>
    </rPh>
    <rPh sb="25" eb="27">
      <t>セントウ</t>
    </rPh>
    <phoneticPr fontId="1"/>
  </si>
  <si>
    <t>ディスクS.M.A.R.T情報（Modelのフォーマット）</t>
    <rPh sb="13" eb="15">
      <t>ジョウホウ</t>
    </rPh>
    <phoneticPr fontId="1"/>
  </si>
  <si>
    <t>ディスクS.M.A.R.T情報（IDのフォーマット3）</t>
    <rPh sb="13" eb="15">
      <t>ジョウホウ</t>
    </rPh>
    <phoneticPr fontId="1"/>
  </si>
  <si>
    <t>ディスクS.M.A.R.T情報（IDのフォーマット2）</t>
    <rPh sb="13" eb="15">
      <t>ジョウホウ</t>
    </rPh>
    <phoneticPr fontId="1"/>
  </si>
  <si>
    <t>ディスクS.M.A.R.T情報（IDのフォーマット1）</t>
    <rPh sb="13" eb="15">
      <t>ジョウホウ</t>
    </rPh>
    <phoneticPr fontId="1"/>
  </si>
  <si>
    <t>引数3個</t>
    <rPh sb="0" eb="2">
      <t>ヒキスウ</t>
    </rPh>
    <rPh sb="3" eb="4">
      <t>コ</t>
    </rPh>
    <phoneticPr fontId="1"/>
  </si>
  <si>
    <t>引数4個</t>
    <rPh sb="0" eb="2">
      <t>ヒキスウ</t>
    </rPh>
    <rPh sb="3" eb="4">
      <t>コ</t>
    </rPh>
    <phoneticPr fontId="1"/>
  </si>
  <si>
    <t>SMART_ID_FORMAT</t>
    <phoneticPr fontId="1"/>
  </si>
  <si>
    <t>SMART_ID_FORMAT_SUB</t>
    <phoneticPr fontId="1"/>
  </si>
  <si>
    <t xml:space="preserve">          %-50s, %s</t>
    <phoneticPr fontId="1"/>
  </si>
  <si>
    <t>ダッシュボード画面バー表示</t>
    <rPh sb="7" eb="9">
      <t>ガメン</t>
    </rPh>
    <rPh sb="11" eb="13">
      <t>ヒョウジ</t>
    </rPh>
    <phoneticPr fontId="1"/>
  </si>
  <si>
    <t>0x00000047</t>
    <phoneticPr fontId="1"/>
  </si>
  <si>
    <t>ダッシュボードメニュー表示</t>
    <rPh sb="11" eb="13">
      <t>ヒョウジ</t>
    </rPh>
    <phoneticPr fontId="1"/>
  </si>
  <si>
    <t>LAUNCH_MENU_HIDE</t>
    <phoneticPr fontId="1"/>
  </si>
  <si>
    <t>既存と互換のため、初期はメニュー表示</t>
    <rPh sb="0" eb="2">
      <t>キゾン</t>
    </rPh>
    <rPh sb="3" eb="5">
      <t>ゴカン</t>
    </rPh>
    <rPh sb="9" eb="11">
      <t>ショキ</t>
    </rPh>
    <rPh sb="16" eb="18">
      <t>ヒョウジ</t>
    </rPh>
    <phoneticPr fontId="1"/>
  </si>
  <si>
    <t>×</t>
    <phoneticPr fontId="1"/>
  </si>
  <si>
    <t>0x00000048</t>
    <phoneticPr fontId="1"/>
  </si>
  <si>
    <t>Zabbixエージェント追加</t>
    <rPh sb="12" eb="14">
      <t>ツイカ</t>
    </rPh>
    <phoneticPr fontId="1"/>
  </si>
  <si>
    <t>Zabbixエージェントサービス名</t>
    <rPh sb="16" eb="17">
      <t>メイ</t>
    </rPh>
    <phoneticPr fontId="1"/>
  </si>
  <si>
    <t>ZABBIX_SERVICE_AGENT_ENABLE</t>
    <phoneticPr fontId="1"/>
  </si>
  <si>
    <t>ダッシュボード画面バー表示非表示待ち</t>
    <rPh sb="7" eb="9">
      <t>ガメン</t>
    </rPh>
    <rPh sb="11" eb="13">
      <t>ヒョウジ</t>
    </rPh>
    <rPh sb="13" eb="16">
      <t>ヒヒョウジ</t>
    </rPh>
    <rPh sb="16" eb="17">
      <t>マ</t>
    </rPh>
    <phoneticPr fontId="1"/>
  </si>
  <si>
    <t>LAUNCH_MENU_HIDE_WAIT</t>
    <phoneticPr fontId="1"/>
  </si>
  <si>
    <t>Zabbix Agent [Zabbix4]</t>
    <phoneticPr fontId="1"/>
  </si>
  <si>
    <t>C:\Zabbix_agent\4.0\conf\zabbix_agentd.conf</t>
    <phoneticPr fontId="1"/>
  </si>
  <si>
    <t>Zabbixエージェント設定ファイルパス</t>
    <rPh sb="12" eb="14">
      <t>セッテイ</t>
    </rPh>
    <phoneticPr fontId="1"/>
  </si>
  <si>
    <t>127.0.0.1</t>
    <phoneticPr fontId="1"/>
  </si>
  <si>
    <t>ZABBIX_SERVICE_01_AGENT_NAME</t>
    <phoneticPr fontId="1"/>
  </si>
  <si>
    <t>ZABBIX_SERVICE_01_CONF_FILEPATH</t>
    <phoneticPr fontId="1"/>
  </si>
  <si>
    <t>Zabbixエージェント設定（0:無効、1:01を有効）</t>
    <rPh sb="12" eb="14">
      <t>セッテイ</t>
    </rPh>
    <rPh sb="17" eb="19">
      <t>ムコウ</t>
    </rPh>
    <rPh sb="25" eb="27">
      <t>ユウコウ</t>
    </rPh>
    <phoneticPr fontId="1"/>
  </si>
  <si>
    <t>複数登録可能</t>
    <rPh sb="0" eb="2">
      <t>フクスウ</t>
    </rPh>
    <rPh sb="2" eb="4">
      <t>トウロク</t>
    </rPh>
    <rPh sb="4" eb="6">
      <t>カノウ</t>
    </rPh>
    <phoneticPr fontId="1"/>
  </si>
  <si>
    <t>0x00000049</t>
    <phoneticPr fontId="1"/>
  </si>
  <si>
    <t>Zabbixエージェント接続情報追加</t>
    <rPh sb="12" eb="14">
      <t>セツゾク</t>
    </rPh>
    <rPh sb="14" eb="16">
      <t>ジョウホウ</t>
    </rPh>
    <rPh sb="16" eb="18">
      <t>ツイカ</t>
    </rPh>
    <phoneticPr fontId="1"/>
  </si>
  <si>
    <t>ZABBIX_SERVICE_01_CONF_VAL_ADDRESS</t>
    <phoneticPr fontId="1"/>
  </si>
  <si>
    <t>0x0000004A</t>
    <phoneticPr fontId="1"/>
  </si>
  <si>
    <t>Zabbixエージェント接続情報1つに変更</t>
    <rPh sb="12" eb="14">
      <t>セツゾク</t>
    </rPh>
    <rPh sb="14" eb="16">
      <t>ジョウホウ</t>
    </rPh>
    <rPh sb="19" eb="21">
      <t>ヘンコウ</t>
    </rPh>
    <phoneticPr fontId="1"/>
  </si>
  <si>
    <t>Zabbixエージェント設定 Server=, ServerActive=</t>
    <phoneticPr fontId="1"/>
  </si>
  <si>
    <t>※追加、変更可に修正した場合はバージョン番号をアップすること</t>
    <rPh sb="1" eb="3">
      <t>ツイカ</t>
    </rPh>
    <rPh sb="4" eb="6">
      <t>ヘンコウ</t>
    </rPh>
    <rPh sb="6" eb="7">
      <t>カ</t>
    </rPh>
    <rPh sb="8" eb="10">
      <t>シュウセイ</t>
    </rPh>
    <rPh sb="12" eb="14">
      <t>バアイ</t>
    </rPh>
    <rPh sb="20" eb="22">
      <t>バンゴウ</t>
    </rPh>
    <phoneticPr fontId="1"/>
  </si>
  <si>
    <t>バージョン番号：</t>
    <rPh sb="5" eb="7">
      <t>バンゴウ</t>
    </rPh>
    <phoneticPr fontId="1"/>
  </si>
  <si>
    <t>0x0000004B</t>
    <phoneticPr fontId="1"/>
  </si>
  <si>
    <t>CPU監視を設定可能に変更
設定最大値も変更</t>
    <rPh sb="3" eb="5">
      <t>カンシ</t>
    </rPh>
    <rPh sb="6" eb="8">
      <t>セッテイ</t>
    </rPh>
    <rPh sb="8" eb="10">
      <t>カノウ</t>
    </rPh>
    <rPh sb="11" eb="13">
      <t>ヘンコウ</t>
    </rPh>
    <rPh sb="14" eb="16">
      <t>セッテイ</t>
    </rPh>
    <rPh sb="16" eb="19">
      <t>サイダイチ</t>
    </rPh>
    <rPh sb="20" eb="22">
      <t>ヘンコウ</t>
    </rPh>
    <phoneticPr fontId="1"/>
  </si>
  <si>
    <t>0x0000004C</t>
    <phoneticPr fontId="1"/>
  </si>
  <si>
    <t>CPU監視を設定不可能に再度変更</t>
    <rPh sb="8" eb="9">
      <t>フ</t>
    </rPh>
    <rPh sb="12" eb="14">
      <t>サイド</t>
    </rPh>
    <phoneticPr fontId="1"/>
  </si>
  <si>
    <t>0x0000004D</t>
    <phoneticPr fontId="1"/>
  </si>
  <si>
    <t>上記の再度変更が間違っているため、修正</t>
    <rPh sb="0" eb="2">
      <t>ジョウキ</t>
    </rPh>
    <rPh sb="3" eb="5">
      <t>サイド</t>
    </rPh>
    <rPh sb="5" eb="7">
      <t>ヘンコウ</t>
    </rPh>
    <rPh sb="8" eb="10">
      <t>マチガ</t>
    </rPh>
    <rPh sb="17" eb="19">
      <t>シュウセイ</t>
    </rPh>
    <phoneticPr fontId="1"/>
  </si>
  <si>
    <t>温度の取得間隔を5分に変更</t>
    <rPh sb="0" eb="2">
      <t>オンド</t>
    </rPh>
    <rPh sb="3" eb="5">
      <t>シュトク</t>
    </rPh>
    <rPh sb="5" eb="7">
      <t>カンカク</t>
    </rPh>
    <rPh sb="9" eb="10">
      <t>フン</t>
    </rPh>
    <rPh sb="11" eb="13">
      <t>ヘンコウ</t>
    </rPh>
    <phoneticPr fontId="1"/>
  </si>
  <si>
    <t>UPS_MAKER_INITSEL_VENDOR4</t>
    <phoneticPr fontId="1"/>
  </si>
  <si>
    <t>UPS_CONNECT_INITSEL_VENDOR4</t>
    <phoneticPr fontId="1"/>
  </si>
  <si>
    <t>USB</t>
    <phoneticPr fontId="1"/>
  </si>
  <si>
    <t>UPS_CONNECT_LIST_VENDOR4</t>
    <phoneticPr fontId="1"/>
  </si>
  <si>
    <t>CIFX_USE_DEVICE_VENDOR4</t>
    <phoneticPr fontId="1"/>
  </si>
  <si>
    <t>0x00000000</t>
    <phoneticPr fontId="1"/>
  </si>
  <si>
    <t>Yq9rCCファイルパス</t>
    <phoneticPr fontId="1"/>
  </si>
  <si>
    <t>IOTDS_YQ9RCC_FILEPATH</t>
    <phoneticPr fontId="1"/>
  </si>
  <si>
    <t>7r48Tqk0g7CNxkVntLk1mHFR58dxTnz7+xps6RD6IYCQVUenV6KtV5Zvdf7hFruSoUuWF9aKajhlEQvTyZcndWsxK0/mw4ZKtk1KMxgdVGxsmom3hiHMjmRAuEIf+7ZYunxPXazi1SkWwFxDr7lZYPPJn+GfPjvQlORjLC4vtdg=</t>
    <phoneticPr fontId="1"/>
  </si>
  <si>
    <t>McAfee</t>
    <phoneticPr fontId="1"/>
  </si>
  <si>
    <t>2P0ZU.PdPファイルパス</t>
    <phoneticPr fontId="1"/>
  </si>
  <si>
    <t>IOTDS_2P0ZU_FILEPATH</t>
    <phoneticPr fontId="1"/>
  </si>
  <si>
    <t>MXMPvi0maVSg/KBv0ziz6jeoAPEeovqik6tJJMRyWS44drT4QgdKIDv+K/+BxHLk2CJrOnaJIgsb48ioc89KeLF3WSEi5pL5Hb/I4cCZiy73psvYggyw9BKPN3o6qP/3</t>
    <phoneticPr fontId="1"/>
  </si>
  <si>
    <t>WhiteSec</t>
    <phoneticPr fontId="1"/>
  </si>
  <si>
    <t>2P0ZU.PdP引数</t>
    <rPh sb="9" eb="11">
      <t>ヒキスウ</t>
    </rPh>
    <phoneticPr fontId="1"/>
  </si>
  <si>
    <t>IOTDS_2P0ZU_PARAM</t>
    <phoneticPr fontId="1"/>
  </si>
  <si>
    <t>fxIuI5PH4NcY7s7UEoMOZ/2+8QueLNhIlYfd5A3pkTbyx4iVX47a1muDwaM2L5CJdTVXP3A+rfqN5qMqQr9W2dwITH/YT+B3R1B5XQlUABMRMsmNU1ZCpz4+5LcYcSsMP9dQc6Dzt/LV2+RUaNS9X97wV5eQ4S6Q4sYe4JaTqgc=</t>
    <phoneticPr fontId="1"/>
  </si>
  <si>
    <t>EWcMFP0.PdPファイルパス</t>
    <phoneticPr fontId="1"/>
  </si>
  <si>
    <t>IOTDS_EWCMFP0_FILEPATH</t>
    <phoneticPr fontId="1"/>
  </si>
  <si>
    <t>LzBdfGCHc+w2sU9lC7/cbSDNYA1KMNQBw9iAYMzbxHwJcyskIMMc/TpB8x3pQgqhQnix/JLXOld4S0G28JjcM8dBR6R/pJZNBFqwQ1bVivE7eEii8Qcl35/6Cb1LsZ/v77atzysZnPdikgZbU9H24Yge0i5ueu8uAPd7mFpU4HI=</t>
  </si>
  <si>
    <t>EWcMFP0.PdP対象ファイル拡張子</t>
    <rPh sb="17" eb="20">
      <t>カクチョウシ</t>
    </rPh>
    <phoneticPr fontId="1"/>
  </si>
  <si>
    <t>IOTDS_EWCMFP0_UNSOLID_EXT</t>
    <phoneticPr fontId="1"/>
  </si>
  <si>
    <t>exe,com,sys,scr,cpl,fon,vbs,ps1,bat,cmd,msi,msp,msu,vbe,ocx,js,jar,class,msc</t>
    <phoneticPr fontId="1"/>
  </si>
  <si>
    <t>EWcMFP0.PdP対象DLLファイル拡張子</t>
    <rPh sb="11" eb="13">
      <t>タイショウ</t>
    </rPh>
    <phoneticPr fontId="1"/>
  </si>
  <si>
    <t>IOTDS_EWCMFP0_UNSOLID_EXT_DLL</t>
    <phoneticPr fontId="1"/>
  </si>
  <si>
    <t>dll</t>
    <phoneticPr fontId="1"/>
  </si>
  <si>
    <t>コマンド実行タイムアウト</t>
    <rPh sb="4" eb="6">
      <t>ジッコウ</t>
    </rPh>
    <phoneticPr fontId="1"/>
  </si>
  <si>
    <t>IOTDS_CMDEXEC_TIMEOUT</t>
    <phoneticPr fontId="1"/>
  </si>
  <si>
    <t>ディスクS.M.A.R.T情報（IPCベンダー別 4）</t>
    <rPh sb="13" eb="15">
      <t>ジョウホウ</t>
    </rPh>
    <phoneticPr fontId="1"/>
  </si>
  <si>
    <t>SMART_VENDOR4_DISK1</t>
    <phoneticPr fontId="1"/>
  </si>
  <si>
    <t>Axiomtek</t>
    <phoneticPr fontId="1"/>
  </si>
  <si>
    <t>0x0000004E</t>
    <phoneticPr fontId="1"/>
  </si>
  <si>
    <t>WhiteSec対応
S.M.A.R.T情報追加（Axiomtek）</t>
    <rPh sb="8" eb="10">
      <t>タイオウ</t>
    </rPh>
    <rPh sb="20" eb="22">
      <t>ジョウホウ</t>
    </rPh>
    <rPh sb="22" eb="24">
      <t>ツイカ</t>
    </rPh>
    <phoneticPr fontId="1"/>
  </si>
  <si>
    <t>0x80000000</t>
    <phoneticPr fontId="1"/>
  </si>
  <si>
    <t>0x7FFFFFFF</t>
    <phoneticPr fontId="1"/>
  </si>
  <si>
    <t>0x0000004F</t>
    <phoneticPr fontId="1"/>
  </si>
  <si>
    <t>×</t>
    <phoneticPr fontId="1"/>
  </si>
  <si>
    <t>メモリ容量エラーヒステリシス</t>
    <phoneticPr fontId="1"/>
  </si>
  <si>
    <t>IDSC_MEM_ERR_HYSTERESIS</t>
    <phoneticPr fontId="1"/>
  </si>
  <si>
    <t>ユーザドライブ容量エラーヒステリシス</t>
    <phoneticPr fontId="1"/>
  </si>
  <si>
    <t>ユーザドライブ容量監視設定 (0: 無効, 1: 有効)</t>
    <rPh sb="7" eb="9">
      <t>ヨウリョウ</t>
    </rPh>
    <rPh sb="9" eb="11">
      <t>カンシ</t>
    </rPh>
    <rPh sb="11" eb="13">
      <t>セッテイ</t>
    </rPh>
    <phoneticPr fontId="1"/>
  </si>
  <si>
    <t>UWF容量エラーヒステリシス</t>
    <phoneticPr fontId="1"/>
  </si>
  <si>
    <t>IDSC_UWF_ERR_HYSTERESIS</t>
    <phoneticPr fontId="1"/>
  </si>
  <si>
    <t>IDSC_CPU_PER_WATCH_ENABLE</t>
  </si>
  <si>
    <t>IDSC_MEM_WATCH_ENABLE</t>
  </si>
  <si>
    <t>メモリ容量監視有効設定 (0: 無効, 1: 有効)</t>
    <rPh sb="3" eb="5">
      <t>ヨウリョウ</t>
    </rPh>
    <rPh sb="5" eb="7">
      <t>カンシ</t>
    </rPh>
    <rPh sb="7" eb="9">
      <t>ユウコウ</t>
    </rPh>
    <rPh sb="9" eb="11">
      <t>セッテイ</t>
    </rPh>
    <phoneticPr fontId="1"/>
  </si>
  <si>
    <t>CPU使用率監視有効設定 (0: 無効, 1: 有効)</t>
    <rPh sb="3" eb="6">
      <t>シヨウリツ</t>
    </rPh>
    <rPh sb="6" eb="8">
      <t>カンシ</t>
    </rPh>
    <rPh sb="10" eb="12">
      <t>セッテイ</t>
    </rPh>
    <phoneticPr fontId="1"/>
  </si>
  <si>
    <t>UWF容量監視有効設定 (0: 無効, 1: 有効)</t>
    <rPh sb="3" eb="5">
      <t>ヨウリョウ</t>
    </rPh>
    <rPh sb="5" eb="7">
      <t>カンシ</t>
    </rPh>
    <rPh sb="7" eb="9">
      <t>ユウコウ</t>
    </rPh>
    <rPh sb="9" eb="11">
      <t>セッテイ</t>
    </rPh>
    <phoneticPr fontId="1"/>
  </si>
  <si>
    <t>CPU温度監視有効設定 (0: 無効, 1: 有効)</t>
    <rPh sb="7" eb="9">
      <t>ユウコウ</t>
    </rPh>
    <rPh sb="9" eb="11">
      <t>セッテイ</t>
    </rPh>
    <phoneticPr fontId="1"/>
  </si>
  <si>
    <t>IDSC_TEMP_CPU_WATCH_INTERVAL</t>
    <phoneticPr fontId="1"/>
  </si>
  <si>
    <t>本体温度監視有効設定 (0: 無効, 1: 有効)</t>
    <rPh sb="0" eb="2">
      <t>ホンタイ</t>
    </rPh>
    <rPh sb="6" eb="8">
      <t>ユウコウ</t>
    </rPh>
    <rPh sb="8" eb="10">
      <t>セッテイ</t>
    </rPh>
    <phoneticPr fontId="1"/>
  </si>
  <si>
    <t>IDSC_UWF_WATCH_ENABLE</t>
    <phoneticPr fontId="1"/>
  </si>
  <si>
    <t>IDSC_TEMP_BDY_WATCH_ENABLE</t>
    <phoneticPr fontId="1"/>
  </si>
  <si>
    <t>IDSC_TEMP_CPU_WATCH_ENABLE</t>
    <phoneticPr fontId="1"/>
  </si>
  <si>
    <t>DB容量監視周期[s]</t>
    <phoneticPr fontId="1"/>
  </si>
  <si>
    <t>DB容量監視有効設定 (0: 無効, 1: 有効)</t>
    <rPh sb="6" eb="8">
      <t>ユウコウ</t>
    </rPh>
    <rPh sb="8" eb="10">
      <t>セッテイ</t>
    </rPh>
    <phoneticPr fontId="1"/>
  </si>
  <si>
    <t>IDSC_DB_WATCH_ENABLE</t>
    <phoneticPr fontId="1"/>
  </si>
  <si>
    <t>冗長化対応設定変更</t>
    <rPh sb="0" eb="2">
      <t>ジョウチョウ</t>
    </rPh>
    <rPh sb="2" eb="3">
      <t>カ</t>
    </rPh>
    <rPh sb="3" eb="5">
      <t>タイオウ</t>
    </rPh>
    <rPh sb="5" eb="7">
      <t>セッテイ</t>
    </rPh>
    <rPh sb="7" eb="9">
      <t>ヘンコウ</t>
    </rPh>
    <phoneticPr fontId="1"/>
  </si>
  <si>
    <t>ユーザドライブ有無監視設定 (0: 無効, 1: 有効)</t>
    <rPh sb="7" eb="9">
      <t>ウム</t>
    </rPh>
    <phoneticPr fontId="1"/>
  </si>
  <si>
    <t>IDSC_UDRV_HAVE_WATCH_ENABLE</t>
    <phoneticPr fontId="1"/>
  </si>
  <si>
    <t>IDSC_UDRV_GET_INTERVAL</t>
  </si>
  <si>
    <t>IDSC_UDRV_WATCH_INTERVAL</t>
  </si>
  <si>
    <t>IDSC_UDRV_WATCH_ENABLE</t>
  </si>
  <si>
    <t>IDSC_UDRV_WARN_SRESHOLD</t>
  </si>
  <si>
    <t>IDSC_UDRV_WARN_HYSTERESIS</t>
  </si>
  <si>
    <t>IDSC_UDRV_ERR_SRESHOLD</t>
  </si>
  <si>
    <t>IDSC_UDRV_ERR_HYSTERESIS</t>
  </si>
  <si>
    <t>IDSC_UDRV2ND_GET_INTERVAL</t>
  </si>
  <si>
    <t>IDSC_UDRV2ND_WATCH_INTERVAL</t>
  </si>
  <si>
    <t>IDSC_UDRV2ND_WATCH_ENABLE</t>
  </si>
  <si>
    <t>IDSC_UDRV2ND_WARN_SRESHOLD</t>
  </si>
  <si>
    <t>IDSC_UDRV2ND_WARN_HYSTERESIS</t>
  </si>
  <si>
    <t>IDSC_UDRV2ND_ERR_SRESHOLD</t>
  </si>
  <si>
    <t>IDSC_UDRV2ND_ERR_HYSTERESIS</t>
  </si>
  <si>
    <t>0x00000050</t>
    <phoneticPr fontId="1"/>
  </si>
  <si>
    <t>Cao,IoTDSCore,IoTDSManagerCom,CaoSQL</t>
    <phoneticPr fontId="1"/>
  </si>
  <si>
    <t>Cao,IoTDSCore,IoTDSManagerCom</t>
    <phoneticPr fontId="1"/>
  </si>
  <si>
    <t>スタンバイ機能監視　冗長システムフラグ</t>
    <rPh sb="5" eb="7">
      <t>キノウ</t>
    </rPh>
    <rPh sb="7" eb="9">
      <t>カンシ</t>
    </rPh>
    <rPh sb="10" eb="12">
      <t>ジョウチョウ</t>
    </rPh>
    <phoneticPr fontId="1"/>
  </si>
  <si>
    <r>
      <rPr>
        <sz val="11"/>
        <color rgb="FF333333"/>
        <rFont val="ＭＳ Ｐゴシック"/>
        <family val="3"/>
        <charset val="128"/>
      </rPr>
      <t>スタンバイ機能監視　運用系</t>
    </r>
    <r>
      <rPr>
        <sz val="11"/>
        <color rgb="FF333333"/>
        <rFont val="Verdana"/>
        <family val="2"/>
      </rPr>
      <t>/</t>
    </r>
    <r>
      <rPr>
        <sz val="11"/>
        <color rgb="FF333333"/>
        <rFont val="ＭＳ Ｐゴシック"/>
        <family val="3"/>
        <charset val="128"/>
      </rPr>
      <t>待機系</t>
    </r>
    <phoneticPr fontId="1"/>
  </si>
  <si>
    <t>スタンバイ機能監視　運用系アドレス</t>
    <phoneticPr fontId="1"/>
  </si>
  <si>
    <t>スタンバイ機能監視　待機系アドレス</t>
    <rPh sb="10" eb="12">
      <t>タイキ</t>
    </rPh>
    <rPh sb="12" eb="13">
      <t>ケイ</t>
    </rPh>
    <phoneticPr fontId="1"/>
  </si>
  <si>
    <t>スタンバイ機能監視　初期接続確認</t>
    <phoneticPr fontId="1"/>
  </si>
  <si>
    <t>スタンバイ機能監視　2回目以降接続確認</t>
    <phoneticPr fontId="1"/>
  </si>
  <si>
    <t>スタンバイ機能監視　監視プロセス</t>
    <phoneticPr fontId="1"/>
  </si>
  <si>
    <t>スタンバイ機能監視　異常検知回数</t>
    <rPh sb="10" eb="12">
      <t>イジョウ</t>
    </rPh>
    <rPh sb="12" eb="14">
      <t>ケンチ</t>
    </rPh>
    <rPh sb="14" eb="16">
      <t>カイスウ</t>
    </rPh>
    <phoneticPr fontId="1"/>
  </si>
  <si>
    <t>スタンバイ機能監視　接続テストプロセス</t>
    <rPh sb="10" eb="12">
      <t>セツゾク</t>
    </rPh>
    <phoneticPr fontId="1"/>
  </si>
  <si>
    <t>スタンバイ機能監視　受付監視異常検知回数</t>
    <rPh sb="10" eb="12">
      <t>ウケツケ</t>
    </rPh>
    <rPh sb="12" eb="14">
      <t>カンシ</t>
    </rPh>
    <rPh sb="14" eb="16">
      <t>イジョウ</t>
    </rPh>
    <rPh sb="16" eb="18">
      <t>ケンチ</t>
    </rPh>
    <rPh sb="18" eb="20">
      <t>カイスウ</t>
    </rPh>
    <phoneticPr fontId="1"/>
  </si>
  <si>
    <t>スタンバイ機能監視　受付監視周期[s]</t>
    <phoneticPr fontId="1"/>
  </si>
  <si>
    <t>STANDBY_SETTING_ENABLE</t>
    <phoneticPr fontId="1"/>
  </si>
  <si>
    <t>STANDBY_WORKING_SYSTEM</t>
    <phoneticPr fontId="1"/>
  </si>
  <si>
    <t>STANDBY_ADDRESS_CONNECT</t>
    <phoneticPr fontId="1"/>
  </si>
  <si>
    <t>STANDBY_ADDRESS_ACCEPT</t>
    <phoneticPr fontId="1"/>
  </si>
  <si>
    <t>STANDBY_CONNECT_FIRST_ALIVE</t>
    <phoneticPr fontId="1"/>
  </si>
  <si>
    <t>STANDBY_CONNECT_KEEP_ALIVE</t>
    <phoneticPr fontId="1"/>
  </si>
  <si>
    <t>STANDBY_DETECT_ERR_COUNT</t>
    <phoneticPr fontId="1"/>
  </si>
  <si>
    <t>STANDBY_TEST_WATCH_PROCESS</t>
    <phoneticPr fontId="1"/>
  </si>
  <si>
    <t>冗長化からスタンバイ機能に変更及び修正</t>
    <rPh sb="0" eb="2">
      <t>ジョウチョウ</t>
    </rPh>
    <rPh sb="2" eb="3">
      <t>カ</t>
    </rPh>
    <rPh sb="10" eb="12">
      <t>キノウ</t>
    </rPh>
    <rPh sb="13" eb="15">
      <t>ヘンコウ</t>
    </rPh>
    <rPh sb="15" eb="16">
      <t>オヨ</t>
    </rPh>
    <rPh sb="17" eb="19">
      <t>シュウセイ</t>
    </rPh>
    <phoneticPr fontId="1"/>
  </si>
  <si>
    <t>0x00000051</t>
    <phoneticPr fontId="1"/>
  </si>
  <si>
    <t>スタンバイ機能拡張</t>
    <rPh sb="5" eb="7">
      <t>キノウ</t>
    </rPh>
    <rPh sb="7" eb="9">
      <t>カクチョウ</t>
    </rPh>
    <phoneticPr fontId="1"/>
  </si>
  <si>
    <t>STANDBY_ACCEPT_DETECT_ERR_COUNT</t>
    <phoneticPr fontId="1"/>
  </si>
  <si>
    <t>スタンバイ機能監視　2回目以降受付監視周期[s]</t>
    <phoneticPr fontId="1"/>
  </si>
  <si>
    <t>STANDBY_ACCEPT_FIRST_CHECK</t>
    <phoneticPr fontId="1"/>
  </si>
  <si>
    <t>STANDBY_ACCEPT_KEEP_CHECK</t>
    <phoneticPr fontId="1"/>
  </si>
  <si>
    <t>HOSTS設定</t>
    <rPh sb="5" eb="7">
      <t>セッテイ</t>
    </rPh>
    <phoneticPr fontId="1"/>
  </si>
  <si>
    <t>HOSTS_SETTING_HOSTS</t>
    <phoneticPr fontId="1"/>
  </si>
  <si>
    <t>「@」文字間区切り、「,」文字設定区切り（127.0.0.1@localhost,192.168.2@localhost）</t>
    <rPh sb="3" eb="5">
      <t>モジ</t>
    </rPh>
    <rPh sb="5" eb="6">
      <t>アイダ</t>
    </rPh>
    <rPh sb="6" eb="8">
      <t>クギ</t>
    </rPh>
    <rPh sb="13" eb="15">
      <t>モジ</t>
    </rPh>
    <rPh sb="17" eb="19">
      <t>クギ</t>
    </rPh>
    <phoneticPr fontId="1"/>
  </si>
  <si>
    <t>HOSTS_FILE_PATH</t>
    <phoneticPr fontId="1"/>
  </si>
  <si>
    <t>HOSTSファイルのパス</t>
    <phoneticPr fontId="1"/>
  </si>
  <si>
    <t>C:\Windows\System32\drivers\etc\hosts</t>
    <phoneticPr fontId="1"/>
  </si>
  <si>
    <t>ipconfig /flushdns</t>
    <phoneticPr fontId="1"/>
  </si>
  <si>
    <t>HOSTS書き込み前コマンド</t>
    <rPh sb="5" eb="6">
      <t>カ</t>
    </rPh>
    <rPh sb="7" eb="8">
      <t>コ</t>
    </rPh>
    <rPh sb="9" eb="10">
      <t>マエ</t>
    </rPh>
    <phoneticPr fontId="1"/>
  </si>
  <si>
    <t>HOSTS書き込み後コマンド</t>
    <rPh sb="5" eb="6">
      <t>カ</t>
    </rPh>
    <rPh sb="7" eb="8">
      <t>コ</t>
    </rPh>
    <rPh sb="9" eb="10">
      <t>アト</t>
    </rPh>
    <phoneticPr fontId="1"/>
  </si>
  <si>
    <t>HOSTS_WRITE_BEFORE_COMMAND</t>
    <phoneticPr fontId="1"/>
  </si>
  <si>
    <t>HOSTS_WRITE_AFTER_COMMAND</t>
    <phoneticPr fontId="1"/>
  </si>
  <si>
    <t>CERTIFICATE_FILE_LIST</t>
    <phoneticPr fontId="1"/>
  </si>
  <si>
    <t>インストールした証明書ファイルリスト（保存しない）</t>
    <rPh sb="8" eb="11">
      <t>ショウメイショ</t>
    </rPh>
    <rPh sb="19" eb="21">
      <t>ホゾン</t>
    </rPh>
    <phoneticPr fontId="1"/>
  </si>
  <si>
    <t>CERTIFICATE_REGIST_PS_COMMAND</t>
    <phoneticPr fontId="1"/>
  </si>
  <si>
    <t>証明書登録Powershellコマンド</t>
    <rPh sb="0" eb="3">
      <t>ショウメイショ</t>
    </rPh>
    <rPh sb="3" eb="5">
      <t>トウロク</t>
    </rPh>
    <phoneticPr fontId="1"/>
  </si>
  <si>
    <t>「,」区切り</t>
    <rPh sb="3" eb="5">
      <t>クギ</t>
    </rPh>
    <phoneticPr fontId="1"/>
  </si>
  <si>
    <t>CERTIFICATE_SUBJECT_FIND_TYPE</t>
    <phoneticPr fontId="1"/>
  </si>
  <si>
    <t>証明書登録検索種別</t>
    <rPh sb="5" eb="7">
      <t>ケンサク</t>
    </rPh>
    <rPh sb="7" eb="9">
      <t>シュベツ</t>
    </rPh>
    <phoneticPr fontId="1"/>
  </si>
  <si>
    <t>CN,OU</t>
    <phoneticPr fontId="1"/>
  </si>
  <si>
    <t>import-certificate "%s" -certstorelocation cert:\LocalMachine\root  | Select-Object Subject | Select-String %s</t>
    <phoneticPr fontId="1"/>
  </si>
  <si>
    <t>S.M.A.R.T情報取得メモリ保持周期[s]</t>
    <rPh sb="9" eb="11">
      <t>ジョウホウ</t>
    </rPh>
    <rPh sb="11" eb="13">
      <t>シュトク</t>
    </rPh>
    <rPh sb="16" eb="18">
      <t>ホジ</t>
    </rPh>
    <rPh sb="18" eb="20">
      <t>シュウキ</t>
    </rPh>
    <phoneticPr fontId="1"/>
  </si>
  <si>
    <t>S.M.A.R.T情報異常時出力ファイルパス</t>
    <rPh sb="9" eb="11">
      <t>ジョウホウ</t>
    </rPh>
    <rPh sb="11" eb="13">
      <t>イジョウ</t>
    </rPh>
    <rPh sb="13" eb="14">
      <t>ジ</t>
    </rPh>
    <rPh sb="14" eb="16">
      <t>シュツリョク</t>
    </rPh>
    <phoneticPr fontId="1"/>
  </si>
  <si>
    <t>ユーザドライブ有無監視設定 (0: 無効, 1: 有効)で監視切り替え</t>
    <rPh sb="29" eb="31">
      <t>カンシ</t>
    </rPh>
    <rPh sb="31" eb="32">
      <t>キ</t>
    </rPh>
    <rPh sb="33" eb="34">
      <t>カ</t>
    </rPh>
    <phoneticPr fontId="1"/>
  </si>
  <si>
    <t>IDSC_SMART_WATCH_INTERVAL</t>
    <phoneticPr fontId="1"/>
  </si>
  <si>
    <t>IDSC_SMART_FILEOUTPATH</t>
    <phoneticPr fontId="1"/>
  </si>
  <si>
    <t>HOSTS対応
SSD消失時、S.M.A.R.T出力対応
SSL証明書対応</t>
    <rPh sb="5" eb="7">
      <t>タイオウ</t>
    </rPh>
    <rPh sb="32" eb="35">
      <t>ショウメイショ</t>
    </rPh>
    <rPh sb="35" eb="37">
      <t>タイオウ</t>
    </rPh>
    <phoneticPr fontId="1"/>
  </si>
  <si>
    <t>タスクスケジュール設定</t>
    <rPh sb="9" eb="11">
      <t>セッテイ</t>
    </rPh>
    <phoneticPr fontId="1"/>
  </si>
  <si>
    <t>0x00000053</t>
    <phoneticPr fontId="1"/>
  </si>
  <si>
    <t>0x00000052</t>
    <phoneticPr fontId="1"/>
  </si>
  <si>
    <t>タスクスケジューラ対応</t>
    <rPh sb="9" eb="11">
      <t>タイオウ</t>
    </rPh>
    <phoneticPr fontId="1"/>
  </si>
  <si>
    <t>TASKSCHEDULE_TRIGGER_MAX</t>
    <phoneticPr fontId="1"/>
  </si>
  <si>
    <t>:各値は「|」区切り、トリガーごとに改行</t>
    <rPh sb="1" eb="2">
      <t>カク</t>
    </rPh>
    <rPh sb="2" eb="3">
      <t>アタイ</t>
    </rPh>
    <rPh sb="7" eb="9">
      <t>クギ</t>
    </rPh>
    <rPh sb="18" eb="20">
      <t>カイギョウ</t>
    </rPh>
    <phoneticPr fontId="1"/>
  </si>
  <si>
    <t>0x00000054</t>
    <phoneticPr fontId="1"/>
  </si>
  <si>
    <t>TASKSCHEDULE_TRIGGERS</t>
    <phoneticPr fontId="1"/>
  </si>
  <si>
    <t>タスクスケジューラ対応修正</t>
    <rPh sb="9" eb="11">
      <t>タイオウ</t>
    </rPh>
    <rPh sb="11" eb="13">
      <t>シュウセイ</t>
    </rPh>
    <phoneticPr fontId="1"/>
  </si>
  <si>
    <t>%IOTDSPROJECTS%\smart-(%YYYY%MM%DD%HH%mm%SS).txt</t>
    <phoneticPr fontId="1"/>
  </si>
  <si>
    <t>SSD消失時、S.M.A.R.T出力対応変更</t>
    <rPh sb="20" eb="22">
      <t>ヘンコウ</t>
    </rPh>
    <phoneticPr fontId="1"/>
  </si>
  <si>
    <t>0x00000055</t>
    <phoneticPr fontId="1"/>
  </si>
  <si>
    <t>スタンバイ機能監視　接続テスト接続ディレイ[ms]</t>
    <rPh sb="15" eb="17">
      <t>セツゾク</t>
    </rPh>
    <phoneticPr fontId="1"/>
  </si>
  <si>
    <t>STANDBY_TEST_CONNECT_DELAY</t>
    <phoneticPr fontId="1"/>
  </si>
  <si>
    <t>STANDBY_WORKING_WATCH_PROCESS</t>
    <phoneticPr fontId="1"/>
  </si>
  <si>
    <t>スタンバイ機能監視　生存確認要求タイムアウト[s]</t>
    <rPh sb="10" eb="12">
      <t>セイゾン</t>
    </rPh>
    <rPh sb="12" eb="14">
      <t>カクニン</t>
    </rPh>
    <rPh sb="14" eb="16">
      <t>ヨウキュウ</t>
    </rPh>
    <phoneticPr fontId="1"/>
  </si>
  <si>
    <t>スタンバイ機能監視　接続テストディレイ追加</t>
    <rPh sb="10" eb="12">
      <t>セツゾク</t>
    </rPh>
    <rPh sb="19" eb="21">
      <t>ツイカ</t>
    </rPh>
    <phoneticPr fontId="1"/>
  </si>
  <si>
    <t>スタンバイ機能監視　プロセスチェックコマンドタイムアウト</t>
    <phoneticPr fontId="1"/>
  </si>
  <si>
    <t>STANDBY_WORKING_WATCH_TIMEOUT</t>
    <phoneticPr fontId="1"/>
  </si>
  <si>
    <t>湯山</t>
    <rPh sb="0" eb="2">
      <t>ユヤマ</t>
    </rPh>
    <phoneticPr fontId="1"/>
  </si>
  <si>
    <t>ディスクS.M.A.R.T情報（IPCベンダー別 5）</t>
    <rPh sb="13" eb="15">
      <t>ジョウホウ</t>
    </rPh>
    <phoneticPr fontId="1"/>
  </si>
  <si>
    <t>SMART_VENDOR5_DISK1</t>
    <phoneticPr fontId="1"/>
  </si>
  <si>
    <t>Advantech</t>
    <phoneticPr fontId="1"/>
  </si>
  <si>
    <t>0x00000056</t>
    <phoneticPr fontId="1"/>
  </si>
  <si>
    <t>UPS_MAKER_INITSEL_VENDOR5</t>
    <phoneticPr fontId="1"/>
  </si>
  <si>
    <t>UPS_CONNECT_INITSEL_VENDOR5</t>
    <phoneticPr fontId="1"/>
  </si>
  <si>
    <t>UPS_CONNECT_LIST_VENDOR5</t>
    <phoneticPr fontId="1"/>
  </si>
  <si>
    <t>CIFX_USE_DEVICE_VENDOR5</t>
    <phoneticPr fontId="1"/>
  </si>
  <si>
    <t>新機種S.M.A.R.T情報追加
UPS項目（IPCベンダー別）にAdvantechを追加</t>
    <rPh sb="0" eb="3">
      <t>シンキシュ</t>
    </rPh>
    <rPh sb="12" eb="14">
      <t>ジョウホウ</t>
    </rPh>
    <rPh sb="14" eb="16">
      <t>ツイカ</t>
    </rPh>
    <rPh sb="20" eb="22">
      <t>コウモク</t>
    </rPh>
    <rPh sb="43" eb="45">
      <t>ツイカ</t>
    </rPh>
    <phoneticPr fontId="1"/>
  </si>
  <si>
    <t>10.4.236.137</t>
    <phoneticPr fontId="1"/>
  </si>
  <si>
    <t>SMART_INFO_SORT</t>
    <phoneticPr fontId="1"/>
  </si>
  <si>
    <t>S.M.A.R.T情報ソート有効フラグ(0:無効|1:有効)</t>
    <rPh sb="14" eb="16">
      <t>ユウコウ</t>
    </rPh>
    <phoneticPr fontId="1"/>
  </si>
  <si>
    <t>S.M.A.R.T情報ソート機能追加</t>
    <rPh sb="9" eb="11">
      <t>ジョウホウ</t>
    </rPh>
    <rPh sb="14" eb="18">
      <t>キノウツイカ</t>
    </rPh>
    <phoneticPr fontId="1"/>
  </si>
  <si>
    <t>使用許諾処理日（使用開始日）</t>
    <rPh sb="0" eb="2">
      <t>シヨウ</t>
    </rPh>
    <rPh sb="2" eb="4">
      <t>キョダク</t>
    </rPh>
    <rPh sb="4" eb="6">
      <t>ショリ</t>
    </rPh>
    <rPh sb="6" eb="7">
      <t>ビ</t>
    </rPh>
    <rPh sb="8" eb="10">
      <t>シヨウ</t>
    </rPh>
    <rPh sb="10" eb="12">
      <t>カイシ</t>
    </rPh>
    <rPh sb="12" eb="13">
      <t>ビ</t>
    </rPh>
    <phoneticPr fontId="1"/>
  </si>
  <si>
    <t>5(0x08)</t>
    <phoneticPr fontId="1"/>
  </si>
  <si>
    <t>16(0x10)</t>
    <phoneticPr fontId="1"/>
  </si>
  <si>
    <t>Firewall設定変更</t>
    <rPh sb="8" eb="10">
      <t>セッテイ</t>
    </rPh>
    <rPh sb="10" eb="12">
      <t>ヘンコウ</t>
    </rPh>
    <phoneticPr fontId="1"/>
  </si>
  <si>
    <t>坂上</t>
    <rPh sb="0" eb="2">
      <t>サカウエ</t>
    </rPh>
    <phoneticPr fontId="1"/>
  </si>
  <si>
    <t>Name={bCapService},DisplayName={bCapService},Vendor=0</t>
  </si>
  <si>
    <t>Name={CAO},DisplayName={CAO},Vendor=0</t>
  </si>
  <si>
    <t>Name={CaoSQL},DisplayName={CaoSQL},Vendor=0</t>
  </si>
  <si>
    <t>Name={FPS-SMB-In-TCP},DisplayName={File and Printer Sharing (SMB-In)},Vendor=0</t>
  </si>
  <si>
    <t>Name={IIS-WebServerRole-FTP-In-TCP-21},DisplayName={FTP Server (FTP Traffic-In)},Vendor=0</t>
  </si>
  <si>
    <t>Name={IIS-WebServerRole-FTP-Passive-In-TCP},DisplayName={FTP Server Passive (FTP Passive Traffic-In)},Vendor=0</t>
  </si>
  <si>
    <t>Name={IIS-WebServerRole-HTTP-In-TCP},DisplayName={World Wide Web Services (HTTP Traffic-In)},Vendor=0</t>
  </si>
  <si>
    <t>Name={IoTDataServer-ICMPv4-In},DisplayName={IoTDataServer-ICMPv4-In},Vendor=0</t>
  </si>
  <si>
    <t>Name={IoTDataShare},DisplayName={IoTDataShare},Vendor=0</t>
  </si>
  <si>
    <t>Name={NTP Server},DisplayName={NTP Server},Vendor=0</t>
  </si>
  <si>
    <t>Name={OPC-UA},DisplayName={OPC-UA},Vendor=0</t>
  </si>
  <si>
    <t>Name={RemoteDesktop-Shadow-In-TCP},DisplayName={Remote Desktop - Shadow (TCP-In)},Vendor=0</t>
  </si>
  <si>
    <t>Name={RemoteDesktop-UserMode-In-TCP},DisplayName={Remote Desktop - User Mode (TCP-In)},Vendor=0</t>
  </si>
  <si>
    <t>Name={RemoteDesktop-UserMode-In-UDP},DisplayName={Remote Desktop - User Mode (UDP-In)},Vendor=0</t>
  </si>
  <si>
    <t>Name={slui},DisplayName={slui},Vendor=0</t>
  </si>
  <si>
    <t>Name={SNMP-In-UDP},DisplayName={SNMP Service (UDP In)},Vendor=0</t>
  </si>
  <si>
    <t>Name={SQL Server},DisplayName={SQL Server},Vendor=0</t>
  </si>
  <si>
    <t>Name={{9BCAC74B-0097-4120-8B43-3D650DC8E331}},DisplayName={Tactical Software},Vendor=0</t>
  </si>
  <si>
    <t>Name={WebAPI},DisplayName={WebAPI},Vendor=0</t>
  </si>
  <si>
    <t>0(0x00) or 31(0x1F)</t>
    <phoneticPr fontId="1"/>
  </si>
  <si>
    <t>-1(0xFFFFFFFF)</t>
    <phoneticPr fontId="1"/>
  </si>
  <si>
    <t>未使用</t>
    <rPh sb="0" eb="3">
      <t>ミシヨウ</t>
    </rPh>
    <phoneticPr fontId="1"/>
  </si>
  <si>
    <t>0x00000101</t>
    <phoneticPr fontId="1"/>
  </si>
  <si>
    <t>UWF無効時は終了時のネットワークを無効にするよう変更
COM_ETHER_END_UWFCHECK</t>
    <rPh sb="3" eb="5">
      <t>ムコウ</t>
    </rPh>
    <rPh sb="5" eb="6">
      <t>ジ</t>
    </rPh>
    <rPh sb="7" eb="10">
      <t>シュウリョウジ</t>
    </rPh>
    <rPh sb="18" eb="20">
      <t>ムコウ</t>
    </rPh>
    <rPh sb="25" eb="27">
      <t>ヘンコウ</t>
    </rPh>
    <phoneticPr fontId="1"/>
  </si>
  <si>
    <t>SMART_INFO_SORTをシステム固定に</t>
    <rPh sb="20" eb="22">
      <t>コテイ</t>
    </rPh>
    <phoneticPr fontId="1"/>
  </si>
  <si>
    <t>0x00000057</t>
    <phoneticPr fontId="1"/>
  </si>
  <si>
    <t>0x00000058</t>
    <phoneticPr fontId="1"/>
  </si>
  <si>
    <t>定期監視DB接続エラー時リトライを2回に減</t>
    <rPh sb="0" eb="2">
      <t>テイキ</t>
    </rPh>
    <rPh sb="2" eb="4">
      <t>カンシ</t>
    </rPh>
    <rPh sb="6" eb="8">
      <t>セツゾク</t>
    </rPh>
    <rPh sb="11" eb="12">
      <t>ジ</t>
    </rPh>
    <rPh sb="18" eb="19">
      <t>カイ</t>
    </rPh>
    <rPh sb="20" eb="21">
      <t>ゲン</t>
    </rPh>
    <phoneticPr fontId="1"/>
  </si>
  <si>
    <t>0x00000059</t>
    <phoneticPr fontId="1"/>
  </si>
  <si>
    <t>SMART_VENDOR1_DISK1_MODEL</t>
    <phoneticPr fontId="1"/>
  </si>
  <si>
    <t>項目が多いので下記で区切る
"&amp;CHAR(10)&amp;"</t>
    <rPh sb="0" eb="2">
      <t>コウモク</t>
    </rPh>
    <rPh sb="3" eb="4">
      <t>オオ</t>
    </rPh>
    <rPh sb="7" eb="9">
      <t>カキ</t>
    </rPh>
    <rPh sb="10" eb="12">
      <t>クギ</t>
    </rPh>
    <phoneticPr fontId="1"/>
  </si>
  <si>
    <t>SMART_VENDOR1_DISK2_MODEL</t>
    <phoneticPr fontId="1"/>
  </si>
  <si>
    <t>SMART_VENDOR2_DISK1_MODEL</t>
    <phoneticPr fontId="1"/>
  </si>
  <si>
    <t>SMART_VENDOR2_DISK2_MODEL</t>
    <phoneticPr fontId="1"/>
  </si>
  <si>
    <t>ディスクS.M.A.R.T情報識別（IPCベンダー別 2）</t>
    <rPh sb="13" eb="15">
      <t>ジョウホウ</t>
    </rPh>
    <rPh sb="15" eb="17">
      <t>シキベツ</t>
    </rPh>
    <phoneticPr fontId="1"/>
  </si>
  <si>
    <t>ディスクS.M.A.R.T情報識別（IPCベンダー別 1）</t>
    <rPh sb="13" eb="15">
      <t>ジョウホウ</t>
    </rPh>
    <rPh sb="15" eb="17">
      <t>シキベツ</t>
    </rPh>
    <phoneticPr fontId="1"/>
  </si>
  <si>
    <t>LITEON</t>
    <phoneticPr fontId="1"/>
  </si>
  <si>
    <t>Dell
空は固定位置、指定はモデル名の一部で判別</t>
    <rPh sb="5" eb="6">
      <t>ソラ</t>
    </rPh>
    <rPh sb="7" eb="9">
      <t>コテイ</t>
    </rPh>
    <rPh sb="9" eb="11">
      <t>イチ</t>
    </rPh>
    <rPh sb="12" eb="14">
      <t>シテイ</t>
    </rPh>
    <rPh sb="18" eb="19">
      <t>メイ</t>
    </rPh>
    <rPh sb="20" eb="22">
      <t>イチブ</t>
    </rPh>
    <rPh sb="23" eb="25">
      <t>ハンベツ</t>
    </rPh>
    <phoneticPr fontId="1"/>
  </si>
  <si>
    <t>ADLink
空は固定位置、指定はモデル名の一部で判別</t>
    <rPh sb="7" eb="8">
      <t>ソラ</t>
    </rPh>
    <rPh sb="9" eb="11">
      <t>コテイ</t>
    </rPh>
    <rPh sb="11" eb="13">
      <t>イチ</t>
    </rPh>
    <rPh sb="14" eb="16">
      <t>シテイ</t>
    </rPh>
    <rPh sb="20" eb="21">
      <t>メイ</t>
    </rPh>
    <rPh sb="22" eb="24">
      <t>イチブ</t>
    </rPh>
    <rPh sb="25" eb="27">
      <t>ハンベツ</t>
    </rPh>
    <phoneticPr fontId="1"/>
  </si>
  <si>
    <t>SMART_VENDOR3_DISK1_MODEL</t>
    <phoneticPr fontId="1"/>
  </si>
  <si>
    <t>Beckhoff
空は固定位置、指定はモデル名の一部で判別</t>
    <rPh sb="9" eb="10">
      <t>ソラ</t>
    </rPh>
    <rPh sb="11" eb="13">
      <t>コテイ</t>
    </rPh>
    <rPh sb="13" eb="15">
      <t>イチ</t>
    </rPh>
    <rPh sb="16" eb="18">
      <t>シテイ</t>
    </rPh>
    <rPh sb="22" eb="23">
      <t>メイ</t>
    </rPh>
    <rPh sb="24" eb="26">
      <t>イチブ</t>
    </rPh>
    <rPh sb="27" eb="29">
      <t>ハンベツ</t>
    </rPh>
    <phoneticPr fontId="1"/>
  </si>
  <si>
    <t>SMART_VENDOR3_DISK2_MODEL</t>
    <phoneticPr fontId="1"/>
  </si>
  <si>
    <t>SMART_VENDOR4_DISK1_MODEL</t>
    <phoneticPr fontId="1"/>
  </si>
  <si>
    <t>Axiomtek
空は固定位置、指定はモデル名の一部で判別</t>
    <rPh sb="9" eb="10">
      <t>ソラ</t>
    </rPh>
    <rPh sb="11" eb="13">
      <t>コテイ</t>
    </rPh>
    <rPh sb="13" eb="15">
      <t>イチ</t>
    </rPh>
    <rPh sb="16" eb="18">
      <t>シテイ</t>
    </rPh>
    <rPh sb="22" eb="23">
      <t>メイ</t>
    </rPh>
    <rPh sb="24" eb="26">
      <t>イチブ</t>
    </rPh>
    <rPh sb="27" eb="29">
      <t>ハンベツ</t>
    </rPh>
    <phoneticPr fontId="1"/>
  </si>
  <si>
    <t>SMART_VENDOR5_DISK1_MODEL</t>
    <phoneticPr fontId="1"/>
  </si>
  <si>
    <t>Advantech
空は固定位置、指定はモデル名の一部で判別</t>
    <rPh sb="10" eb="11">
      <t>ソラ</t>
    </rPh>
    <rPh sb="12" eb="14">
      <t>コテイ</t>
    </rPh>
    <rPh sb="14" eb="16">
      <t>イチ</t>
    </rPh>
    <rPh sb="17" eb="19">
      <t>シテイ</t>
    </rPh>
    <rPh sb="23" eb="24">
      <t>メイ</t>
    </rPh>
    <rPh sb="25" eb="27">
      <t>イチブ</t>
    </rPh>
    <rPh sb="28" eb="30">
      <t>ハンベツ</t>
    </rPh>
    <phoneticPr fontId="1"/>
  </si>
  <si>
    <t>APACER</t>
    <phoneticPr fontId="1"/>
  </si>
  <si>
    <t>ディスクS.M.A.R.T情報識別（IPCベンダー別 3）</t>
    <rPh sb="13" eb="15">
      <t>ジョウホウ</t>
    </rPh>
    <rPh sb="15" eb="17">
      <t>シキベツ</t>
    </rPh>
    <phoneticPr fontId="1"/>
  </si>
  <si>
    <t>ディスクS.M.A.R.T情報識別（IPCベンダー別 4）</t>
    <rPh sb="13" eb="15">
      <t>ジョウホウ</t>
    </rPh>
    <rPh sb="15" eb="17">
      <t>シキベツ</t>
    </rPh>
    <phoneticPr fontId="1"/>
  </si>
  <si>
    <t>ディスクS.M.A.R.T情報識別（IPCベンダー別 5）</t>
    <rPh sb="13" eb="15">
      <t>ジョウホウ</t>
    </rPh>
    <rPh sb="15" eb="17">
      <t>シキベツ</t>
    </rPh>
    <phoneticPr fontId="1"/>
  </si>
  <si>
    <t>Dellに次世代ApacerSSD追加と温度項目修正
SSDモデル識別子追加
Axiomtek、ADLink SSD情報修正
分類できない場合の表示を修正</t>
    <rPh sb="17" eb="19">
      <t>ツイカ</t>
    </rPh>
    <rPh sb="20" eb="22">
      <t>オンド</t>
    </rPh>
    <rPh sb="22" eb="24">
      <t>コウモク</t>
    </rPh>
    <rPh sb="24" eb="26">
      <t>シュウセイ</t>
    </rPh>
    <rPh sb="33" eb="36">
      <t>シキベツシ</t>
    </rPh>
    <rPh sb="36" eb="38">
      <t>ツイカ</t>
    </rPh>
    <rPh sb="58" eb="60">
      <t>ジョウホウ</t>
    </rPh>
    <rPh sb="60" eb="62">
      <t>シュウセイ</t>
    </rPh>
    <rPh sb="63" eb="65">
      <t>ブンルイ</t>
    </rPh>
    <rPh sb="69" eb="71">
      <t>バアイ</t>
    </rPh>
    <rPh sb="72" eb="74">
      <t>ヒョウジ</t>
    </rPh>
    <rPh sb="75" eb="77">
      <t>シュウセイ</t>
    </rPh>
    <phoneticPr fontId="1"/>
  </si>
  <si>
    <t>SMART_VENDOR2_DISK3</t>
    <phoneticPr fontId="1"/>
  </si>
  <si>
    <t xml:space="preserve">Apacerの第2世代
変更
0x05:Re-Assigned Block Count
追加
0xA3:Maximum Erase Count
0xA7:SSD Protect Mode
0xA9:Unexpected Power Loss Count
</t>
    <rPh sb="13" eb="15">
      <t>ヘンコウ</t>
    </rPh>
    <rPh sb="45" eb="47">
      <t>ツイカ</t>
    </rPh>
    <phoneticPr fontId="1"/>
  </si>
  <si>
    <t xml:space="preserve">Apacerの第1世代
</t>
    <phoneticPr fontId="1"/>
  </si>
  <si>
    <t>SMART_VENDOR2_DISK3_MODEL</t>
    <phoneticPr fontId="1"/>
  </si>
  <si>
    <t xml:space="preserve">DellのApacerSSDが世代間に相違があったため追加とApacerとLITENO入れ替え
</t>
    <rPh sb="17" eb="18">
      <t>アイダ</t>
    </rPh>
    <rPh sb="19" eb="21">
      <t>ソウイ</t>
    </rPh>
    <rPh sb="27" eb="29">
      <t>ツイカ</t>
    </rPh>
    <rPh sb="43" eb="44">
      <t>イ</t>
    </rPh>
    <rPh sb="45" eb="46">
      <t>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</si>
</sst>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yyyy/mm/dd"/>
  </numFmts>
  <fonts count="2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22"/>
      <color theme="1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u/>
      <sz val="11"/>
      <color theme="10"/>
      <name val="ＭＳ Ｐゴシック"/>
      <family val="2"/>
      <scheme val="minor"/>
    </font>
    <font>
      <sz val="11"/>
      <color rgb="FFFF0000"/>
      <name val="ＭＳ Ｐゴシック"/>
      <family val="2"/>
      <scheme val="minor"/>
    </font>
    <font>
      <sz val="10"/>
      <color theme="1"/>
      <name val="ＭＳ Ｐゴシック"/>
      <family val="3"/>
      <charset val="128"/>
      <scheme val="minor"/>
    </font>
    <font>
      <sz val="11"/>
      <color rgb="FF444444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34"/>
      <scheme val="minor"/>
    </font>
    <font>
      <b/>
      <sz val="14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b/>
      <sz val="9"/>
      <color indexed="53"/>
      <name val="MS P ゴシック"/>
      <family val="3"/>
      <charset val="128"/>
    </font>
    <font>
      <sz val="11"/>
      <color rgb="FF333333"/>
      <name val="ＭＳ Ｐゴシック"/>
      <family val="3"/>
      <charset val="128"/>
    </font>
    <font>
      <sz val="11"/>
      <color rgb="FF333333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38">
    <xf numFmtId="0" fontId="0" fillId="0" borderId="0" xfId="0"/>
    <xf numFmtId="0" fontId="0" fillId="2" borderId="2" xfId="0" applyFill="1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/>
    </xf>
    <xf numFmtId="0" fontId="0" fillId="0" borderId="0" xfId="0" applyAlignment="1">
      <alignment horizontal="right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center"/>
    </xf>
    <xf numFmtId="0" fontId="0" fillId="0" borderId="2" xfId="0" applyBorder="1"/>
    <xf numFmtId="176" fontId="0" fillId="0" borderId="2" xfId="0" applyNumberFormat="1" applyBorder="1"/>
    <xf numFmtId="176" fontId="0" fillId="0" borderId="0" xfId="0" applyNumberFormat="1"/>
    <xf numFmtId="0" fontId="0" fillId="0" borderId="1" xfId="0" applyBorder="1" applyAlignment="1">
      <alignment wrapText="1"/>
    </xf>
    <xf numFmtId="14" fontId="0" fillId="0" borderId="8" xfId="0" applyNumberFormat="1" applyBorder="1" applyAlignment="1">
      <alignment horizontal="left" vertical="top"/>
    </xf>
    <xf numFmtId="176" fontId="0" fillId="0" borderId="15" xfId="0" applyNumberFormat="1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176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2" fillId="0" borderId="0" xfId="0" applyFont="1"/>
    <xf numFmtId="0" fontId="0" fillId="0" borderId="1" xfId="0" applyBorder="1" applyAlignment="1">
      <alignment horizontal="left"/>
    </xf>
    <xf numFmtId="0" fontId="5" fillId="3" borderId="1" xfId="0" applyFont="1" applyFill="1" applyBorder="1"/>
    <xf numFmtId="0" fontId="6" fillId="3" borderId="1" xfId="0" applyFont="1" applyFill="1" applyBorder="1"/>
    <xf numFmtId="0" fontId="6" fillId="3" borderId="1" xfId="0" applyFont="1" applyFill="1" applyBorder="1" applyAlignment="1">
      <alignment horizontal="right"/>
    </xf>
    <xf numFmtId="0" fontId="6" fillId="3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wrapText="1"/>
    </xf>
    <xf numFmtId="0" fontId="0" fillId="2" borderId="2" xfId="0" applyFill="1" applyBorder="1" applyAlignment="1">
      <alignment wrapText="1"/>
    </xf>
    <xf numFmtId="0" fontId="0" fillId="2" borderId="2" xfId="0" applyFill="1" applyBorder="1" applyAlignment="1">
      <alignment horizontal="center" wrapText="1"/>
    </xf>
    <xf numFmtId="0" fontId="0" fillId="0" borderId="1" xfId="0" applyBorder="1"/>
    <xf numFmtId="176" fontId="0" fillId="0" borderId="1" xfId="0" applyNumberFormat="1" applyBorder="1" applyAlignment="1">
      <alignment vertical="top"/>
    </xf>
    <xf numFmtId="0" fontId="0" fillId="0" borderId="0" xfId="0" applyAlignment="1">
      <alignment horizontal="left"/>
    </xf>
    <xf numFmtId="0" fontId="0" fillId="0" borderId="1" xfId="0" applyBorder="1" applyAlignment="1">
      <alignment vertical="top" wrapText="1"/>
    </xf>
    <xf numFmtId="0" fontId="0" fillId="2" borderId="1" xfId="0" applyFill="1" applyBorder="1"/>
    <xf numFmtId="0" fontId="8" fillId="0" borderId="0" xfId="1" applyAlignment="1">
      <alignment horizontal="center" vertical="center"/>
    </xf>
    <xf numFmtId="0" fontId="0" fillId="0" borderId="4" xfId="0" applyBorder="1"/>
    <xf numFmtId="0" fontId="0" fillId="0" borderId="1" xfId="0" applyBorder="1" applyAlignment="1">
      <alignment vertical="top"/>
    </xf>
    <xf numFmtId="0" fontId="6" fillId="0" borderId="1" xfId="0" applyFont="1" applyBorder="1" applyAlignment="1">
      <alignment horizontal="right"/>
    </xf>
    <xf numFmtId="0" fontId="6" fillId="0" borderId="0" xfId="0" applyFont="1"/>
    <xf numFmtId="0" fontId="0" fillId="0" borderId="0" xfId="0" applyAlignment="1">
      <alignment vertical="top"/>
    </xf>
    <xf numFmtId="0" fontId="0" fillId="0" borderId="2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16" xfId="0" applyBorder="1" applyAlignment="1">
      <alignment vertical="top"/>
    </xf>
    <xf numFmtId="176" fontId="0" fillId="0" borderId="2" xfId="0" applyNumberFormat="1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2" xfId="0" applyBorder="1" applyAlignment="1">
      <alignment horizontal="left" vertical="top"/>
    </xf>
    <xf numFmtId="176" fontId="0" fillId="0" borderId="4" xfId="0" applyNumberFormat="1" applyBorder="1" applyAlignment="1">
      <alignment vertical="top"/>
    </xf>
    <xf numFmtId="176" fontId="0" fillId="0" borderId="1" xfId="0" applyNumberFormat="1" applyBorder="1"/>
    <xf numFmtId="0" fontId="10" fillId="0" borderId="0" xfId="0" applyFont="1"/>
    <xf numFmtId="0" fontId="11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176" fontId="0" fillId="0" borderId="12" xfId="0" applyNumberFormat="1" applyBorder="1"/>
    <xf numFmtId="0" fontId="0" fillId="0" borderId="16" xfId="0" applyBorder="1"/>
    <xf numFmtId="0" fontId="0" fillId="0" borderId="0" xfId="0" quotePrefix="1"/>
    <xf numFmtId="0" fontId="0" fillId="5" borderId="1" xfId="0" applyFill="1" applyBorder="1"/>
    <xf numFmtId="0" fontId="0" fillId="5" borderId="1" xfId="0" applyFill="1" applyBorder="1" applyAlignment="1">
      <alignment horizontal="right"/>
    </xf>
    <xf numFmtId="0" fontId="0" fillId="5" borderId="1" xfId="0" applyFill="1" applyBorder="1" applyAlignment="1">
      <alignment horizontal="center" vertical="center"/>
    </xf>
    <xf numFmtId="0" fontId="0" fillId="0" borderId="1" xfId="0" quotePrefix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2" fillId="0" borderId="1" xfId="0" quotePrefix="1" applyFont="1" applyBorder="1" applyAlignment="1">
      <alignment horizontal="left"/>
    </xf>
    <xf numFmtId="176" fontId="0" fillId="0" borderId="14" xfId="0" applyNumberFormat="1" applyBorder="1"/>
    <xf numFmtId="0" fontId="0" fillId="6" borderId="1" xfId="0" applyFill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16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6" fillId="0" borderId="1" xfId="0" applyFont="1" applyBorder="1" applyAlignment="1">
      <alignment horizontal="right" vertical="top"/>
    </xf>
    <xf numFmtId="0" fontId="0" fillId="0" borderId="1" xfId="0" applyBorder="1" applyAlignment="1">
      <alignment horizontal="center" vertical="top"/>
    </xf>
    <xf numFmtId="0" fontId="5" fillId="0" borderId="1" xfId="0" applyFont="1" applyBorder="1" applyAlignment="1">
      <alignment vertical="top"/>
    </xf>
    <xf numFmtId="0" fontId="6" fillId="0" borderId="1" xfId="0" applyFont="1" applyBorder="1" applyAlignment="1">
      <alignment vertical="top"/>
    </xf>
    <xf numFmtId="0" fontId="0" fillId="5" borderId="1" xfId="0" applyFill="1" applyBorder="1" applyAlignment="1">
      <alignment vertical="top"/>
    </xf>
    <xf numFmtId="0" fontId="0" fillId="2" borderId="1" xfId="0" applyFill="1" applyBorder="1" applyAlignment="1">
      <alignment vertical="top"/>
    </xf>
    <xf numFmtId="0" fontId="12" fillId="0" borderId="1" xfId="0" applyFont="1" applyBorder="1" applyAlignment="1">
      <alignment vertical="top"/>
    </xf>
    <xf numFmtId="0" fontId="6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right" vertical="top"/>
    </xf>
    <xf numFmtId="20" fontId="0" fillId="0" borderId="1" xfId="0" applyNumberFormat="1" applyBorder="1" applyAlignment="1">
      <alignment vertical="top"/>
    </xf>
    <xf numFmtId="0" fontId="0" fillId="0" borderId="1" xfId="0" quotePrefix="1" applyBorder="1" applyAlignment="1">
      <alignment horizontal="right" vertical="top"/>
    </xf>
    <xf numFmtId="0" fontId="6" fillId="0" borderId="1" xfId="0" applyFont="1" applyBorder="1" applyAlignment="1">
      <alignment horizontal="right" vertical="top" wrapText="1"/>
    </xf>
    <xf numFmtId="0" fontId="6" fillId="0" borderId="1" xfId="0" applyFont="1" applyBorder="1" applyAlignment="1">
      <alignment horizontal="center" vertical="top"/>
    </xf>
    <xf numFmtId="0" fontId="6" fillId="0" borderId="1" xfId="0" applyFont="1" applyBorder="1" applyAlignment="1">
      <alignment horizontal="left" vertical="top"/>
    </xf>
    <xf numFmtId="0" fontId="9" fillId="0" borderId="1" xfId="0" applyFont="1" applyBorder="1" applyAlignment="1">
      <alignment horizontal="right" vertical="top"/>
    </xf>
    <xf numFmtId="0" fontId="0" fillId="0" borderId="1" xfId="0" quotePrefix="1" applyBorder="1" applyAlignment="1">
      <alignment vertical="top"/>
    </xf>
    <xf numFmtId="0" fontId="0" fillId="5" borderId="1" xfId="0" applyFill="1" applyBorder="1" applyAlignment="1">
      <alignment horizontal="left" vertical="top"/>
    </xf>
    <xf numFmtId="0" fontId="0" fillId="5" borderId="1" xfId="0" applyFill="1" applyBorder="1" applyAlignment="1">
      <alignment horizontal="right" vertical="top"/>
    </xf>
    <xf numFmtId="0" fontId="0" fillId="5" borderId="1" xfId="0" applyFill="1" applyBorder="1" applyAlignment="1">
      <alignment horizontal="center" vertical="top"/>
    </xf>
    <xf numFmtId="0" fontId="0" fillId="2" borderId="1" xfId="0" quotePrefix="1" applyFill="1" applyBorder="1" applyAlignment="1">
      <alignment horizontal="right" vertical="top"/>
    </xf>
    <xf numFmtId="0" fontId="6" fillId="2" borderId="1" xfId="0" applyFont="1" applyFill="1" applyBorder="1" applyAlignment="1">
      <alignment horizontal="right" vertical="top"/>
    </xf>
    <xf numFmtId="0" fontId="0" fillId="2" borderId="1" xfId="0" applyFill="1" applyBorder="1" applyAlignment="1">
      <alignment horizontal="center" vertical="top"/>
    </xf>
    <xf numFmtId="0" fontId="12" fillId="0" borderId="1" xfId="0" applyFont="1" applyBorder="1" applyAlignment="1">
      <alignment horizontal="right" vertical="top"/>
    </xf>
    <xf numFmtId="0" fontId="12" fillId="0" borderId="1" xfId="0" applyFont="1" applyBorder="1" applyAlignment="1">
      <alignment horizontal="left" vertical="top" wrapText="1"/>
    </xf>
    <xf numFmtId="0" fontId="6" fillId="0" borderId="0" xfId="0" applyFont="1" applyAlignment="1">
      <alignment vertical="top" wrapText="1"/>
    </xf>
    <xf numFmtId="0" fontId="0" fillId="4" borderId="1" xfId="0" applyFill="1" applyBorder="1" applyAlignment="1">
      <alignment horizontal="right" vertical="top"/>
    </xf>
    <xf numFmtId="0" fontId="0" fillId="6" borderId="1" xfId="0" applyFill="1" applyBorder="1" applyAlignment="1">
      <alignment horizontal="right" vertical="top"/>
    </xf>
    <xf numFmtId="0" fontId="0" fillId="2" borderId="3" xfId="0" applyFill="1" applyBorder="1" applyAlignment="1">
      <alignment horizontal="center" vertical="top"/>
    </xf>
    <xf numFmtId="0" fontId="3" fillId="0" borderId="0" xfId="0" applyFont="1" applyAlignment="1">
      <alignment vertical="top"/>
    </xf>
    <xf numFmtId="0" fontId="4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 wrapText="1"/>
    </xf>
    <xf numFmtId="0" fontId="15" fillId="0" borderId="0" xfId="0" applyFont="1" applyAlignment="1">
      <alignment horizontal="left" vertical="center"/>
    </xf>
    <xf numFmtId="3" fontId="0" fillId="0" borderId="1" xfId="0" applyNumberFormat="1" applyBorder="1" applyAlignment="1">
      <alignment horizontal="right" vertical="top"/>
    </xf>
    <xf numFmtId="0" fontId="6" fillId="0" borderId="1" xfId="0" applyFont="1" applyBorder="1"/>
    <xf numFmtId="0" fontId="6" fillId="0" borderId="1" xfId="0" applyFont="1" applyBorder="1" applyAlignment="1">
      <alignment horizontal="center" vertical="center"/>
    </xf>
    <xf numFmtId="0" fontId="5" fillId="0" borderId="1" xfId="0" applyFont="1" applyBorder="1"/>
    <xf numFmtId="0" fontId="0" fillId="0" borderId="1" xfId="0" quotePrefix="1" applyBorder="1"/>
    <xf numFmtId="0" fontId="19" fillId="0" borderId="1" xfId="0" applyFont="1" applyBorder="1" applyAlignment="1">
      <alignment vertical="center" wrapText="1"/>
    </xf>
    <xf numFmtId="0" fontId="20" fillId="0" borderId="1" xfId="0" applyFont="1" applyBorder="1" applyAlignment="1">
      <alignment vertical="center" wrapText="1"/>
    </xf>
    <xf numFmtId="0" fontId="0" fillId="0" borderId="1" xfId="0" quotePrefix="1" applyBorder="1" applyAlignment="1">
      <alignment wrapText="1"/>
    </xf>
    <xf numFmtId="0" fontId="0" fillId="0" borderId="1" xfId="0" quotePrefix="1" applyBorder="1" applyAlignment="1">
      <alignment horizontal="left" vertical="top" wrapText="1"/>
    </xf>
    <xf numFmtId="0" fontId="6" fillId="0" borderId="1" xfId="0" applyFont="1" applyBorder="1" applyAlignment="1">
      <alignment vertical="top" wrapText="1"/>
    </xf>
    <xf numFmtId="0" fontId="0" fillId="2" borderId="5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11" xfId="0" applyBorder="1" applyAlignment="1">
      <alignment vertical="top"/>
    </xf>
    <xf numFmtId="0" fontId="0" fillId="0" borderId="12" xfId="0" applyBorder="1" applyAlignment="1">
      <alignment vertical="top"/>
    </xf>
    <xf numFmtId="0" fontId="0" fillId="2" borderId="3" xfId="0" applyFill="1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1" xfId="0" applyBorder="1" applyAlignment="1">
      <alignment vertical="top"/>
    </xf>
    <xf numFmtId="0" fontId="0" fillId="2" borderId="5" xfId="0" applyFill="1" applyBorder="1" applyAlignment="1">
      <alignment vertical="top"/>
    </xf>
    <xf numFmtId="0" fontId="0" fillId="2" borderId="6" xfId="0" applyFill="1" applyBorder="1" applyAlignment="1">
      <alignment vertical="top"/>
    </xf>
    <xf numFmtId="0" fontId="0" fillId="2" borderId="7" xfId="0" applyFill="1" applyBorder="1" applyAlignment="1">
      <alignment vertical="top"/>
    </xf>
    <xf numFmtId="0" fontId="0" fillId="0" borderId="14" xfId="0" applyBorder="1" applyAlignment="1">
      <alignment vertical="top"/>
    </xf>
    <xf numFmtId="0" fontId="0" fillId="0" borderId="9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4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0" xfId="0" applyAlignment="1">
      <alignment horizontal="center" vertical="center"/>
    </xf>
    <xf numFmtId="0" fontId="9" fillId="0" borderId="17" xfId="0" applyFont="1" applyBorder="1" applyAlignment="1">
      <alignment horizontal="left" vertical="center"/>
    </xf>
    <xf numFmtId="0" fontId="16" fillId="0" borderId="18" xfId="0" applyFont="1" applyBorder="1" applyAlignment="1">
      <alignment horizontal="left" vertical="center"/>
    </xf>
    <xf numFmtId="0" fontId="0" fillId="0" borderId="1" xfId="0" applyBorder="1"/>
    <xf numFmtId="0" fontId="0" fillId="0" borderId="8" xfId="0" applyBorder="1"/>
    <xf numFmtId="0" fontId="0" fillId="2" borderId="6" xfId="0" applyFill="1" applyBorder="1"/>
    <xf numFmtId="0" fontId="0" fillId="2" borderId="7" xfId="0" applyFill="1" applyBorder="1"/>
    <xf numFmtId="0" fontId="0" fillId="0" borderId="8" xfId="0" applyBorder="1" applyAlignment="1">
      <alignment vertical="top"/>
    </xf>
  </cellXfs>
  <cellStyles count="2">
    <cellStyle name="ハイパーリンク" xfId="1" builtinId="8"/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19050</xdr:rowOff>
        </xdr:from>
        <xdr:to>
          <xdr:col>4</xdr:col>
          <xdr:colOff>485775</xdr:colOff>
          <xdr:row>9</xdr:row>
          <xdr:rowOff>0</xdr:rowOff>
        </xdr:to>
        <xdr:sp macro="" textlink="">
          <xdr:nvSpPr>
            <xdr:cNvPr id="2050" name="cmdCreateXML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19050</xdr:rowOff>
        </xdr:from>
        <xdr:to>
          <xdr:col>4</xdr:col>
          <xdr:colOff>485775</xdr:colOff>
          <xdr:row>16</xdr:row>
          <xdr:rowOff>0</xdr:rowOff>
        </xdr:to>
        <xdr:sp macro="" textlink="">
          <xdr:nvSpPr>
            <xdr:cNvPr id="2051" name="cmdCreateSourc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333375</xdr:colOff>
          <xdr:row>14</xdr:row>
          <xdr:rowOff>0</xdr:rowOff>
        </xdr:to>
        <xdr:sp macro="" textlink="">
          <xdr:nvSpPr>
            <xdr:cNvPr id="2053" name="cmdSelectSrcPath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4</xdr:row>
          <xdr:rowOff>9525</xdr:rowOff>
        </xdr:from>
        <xdr:to>
          <xdr:col>7</xdr:col>
          <xdr:colOff>333375</xdr:colOff>
          <xdr:row>5</xdr:row>
          <xdr:rowOff>0</xdr:rowOff>
        </xdr:to>
        <xdr:sp macro="" textlink="">
          <xdr:nvSpPr>
            <xdr:cNvPr id="2054" name="cmdSelectXMLPath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257175</xdr:colOff>
          <xdr:row>5</xdr:row>
          <xdr:rowOff>19050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2057" name="btnIpToHex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5</xdr:row>
          <xdr:rowOff>19050</xdr:rowOff>
        </xdr:from>
        <xdr:to>
          <xdr:col>17</xdr:col>
          <xdr:colOff>447675</xdr:colOff>
          <xdr:row>6</xdr:row>
          <xdr:rowOff>0</xdr:rowOff>
        </xdr:to>
        <xdr:sp macro="" textlink="">
          <xdr:nvSpPr>
            <xdr:cNvPr id="2058" name="btnHexToIp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1381124</xdr:colOff>
      <xdr:row>0</xdr:row>
      <xdr:rowOff>28574</xdr:rowOff>
    </xdr:from>
    <xdr:to>
      <xdr:col>6</xdr:col>
      <xdr:colOff>114299</xdr:colOff>
      <xdr:row>1</xdr:row>
      <xdr:rowOff>114299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372974" y="28574"/>
          <a:ext cx="1152525" cy="257175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PHONENIX</a:t>
          </a:r>
          <a:r>
            <a:rPr kumimoji="1" lang="ja-JP" altLang="en-US" sz="1100">
              <a:solidFill>
                <a:sysClr val="windowText" lastClr="000000"/>
              </a:solidFill>
            </a:rPr>
            <a:t>設定</a:t>
          </a:r>
        </a:p>
      </xdr:txBody>
    </xdr:sp>
    <xdr:clientData/>
  </xdr:twoCellAnchor>
  <xdr:twoCellAnchor>
    <xdr:from>
      <xdr:col>4</xdr:col>
      <xdr:colOff>571500</xdr:colOff>
      <xdr:row>0</xdr:row>
      <xdr:rowOff>28575</xdr:rowOff>
    </xdr:from>
    <xdr:to>
      <xdr:col>4</xdr:col>
      <xdr:colOff>1362076</xdr:colOff>
      <xdr:row>1</xdr:row>
      <xdr:rowOff>114300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1563350" y="28575"/>
          <a:ext cx="790576" cy="257175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HMS</a:t>
          </a:r>
          <a:r>
            <a:rPr kumimoji="1" lang="ja-JP" altLang="en-US" sz="1100">
              <a:solidFill>
                <a:sysClr val="windowText" lastClr="000000"/>
              </a:solidFill>
            </a:rPr>
            <a:t>設定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758"/>
  <sheetViews>
    <sheetView tabSelected="1" workbookViewId="0">
      <selection activeCell="N20" sqref="N20"/>
    </sheetView>
  </sheetViews>
  <sheetFormatPr defaultRowHeight="13.5"/>
  <cols>
    <col min="2" max="7" width="9" customWidth="1"/>
  </cols>
  <sheetData>
    <row r="1" spans="1:19">
      <c r="A1" t="s">
        <v>191</v>
      </c>
    </row>
    <row r="3" spans="1:19">
      <c r="B3" t="s">
        <v>234</v>
      </c>
      <c r="I3" t="s">
        <v>231</v>
      </c>
      <c r="P3" t="s">
        <v>254</v>
      </c>
    </row>
    <row r="4" spans="1:19" ht="14.25" thickBot="1">
      <c r="A4" s="40"/>
      <c r="B4" s="116" t="s">
        <v>205</v>
      </c>
      <c r="C4" s="118"/>
      <c r="D4" s="113" t="s">
        <v>206</v>
      </c>
      <c r="E4" s="113"/>
      <c r="F4" s="113"/>
      <c r="G4" s="113"/>
      <c r="H4" s="40"/>
      <c r="I4" s="93" t="s">
        <v>232</v>
      </c>
      <c r="J4" s="6" t="s">
        <v>1098</v>
      </c>
      <c r="K4" s="6" t="s">
        <v>233</v>
      </c>
      <c r="L4" s="6" t="s">
        <v>2855</v>
      </c>
      <c r="M4" s="6" t="s">
        <v>3462</v>
      </c>
      <c r="N4" s="6" t="s">
        <v>3652</v>
      </c>
      <c r="P4" s="109" t="s">
        <v>255</v>
      </c>
      <c r="Q4" s="110"/>
      <c r="R4" s="109" t="s">
        <v>256</v>
      </c>
      <c r="S4" s="110"/>
    </row>
    <row r="5" spans="1:19" ht="16.5" customHeight="1" thickTop="1">
      <c r="A5" s="40"/>
      <c r="B5" s="128" t="s">
        <v>192</v>
      </c>
      <c r="C5" s="129"/>
      <c r="D5" s="114" t="s">
        <v>4212</v>
      </c>
      <c r="E5" s="114"/>
      <c r="F5" s="114"/>
      <c r="G5" s="114"/>
      <c r="H5" s="40"/>
      <c r="I5" s="67" t="s">
        <v>230</v>
      </c>
      <c r="J5" s="2" t="s">
        <v>230</v>
      </c>
      <c r="K5" s="2" t="s">
        <v>230</v>
      </c>
      <c r="L5" s="2" t="s">
        <v>230</v>
      </c>
      <c r="M5" s="2" t="s">
        <v>230</v>
      </c>
      <c r="N5" s="2" t="s">
        <v>230</v>
      </c>
      <c r="P5" s="123" t="s">
        <v>4500</v>
      </c>
      <c r="Q5" s="123"/>
      <c r="R5" s="124" t="s">
        <v>261</v>
      </c>
      <c r="S5" s="125"/>
    </row>
    <row r="6" spans="1:19" ht="16.5" customHeight="1">
      <c r="A6" s="40"/>
      <c r="B6" s="111" t="s">
        <v>207</v>
      </c>
      <c r="C6" s="112"/>
      <c r="D6" s="115" t="s">
        <v>3099</v>
      </c>
      <c r="E6" s="115"/>
      <c r="F6" s="115"/>
      <c r="G6" s="115"/>
      <c r="H6" s="40"/>
      <c r="I6" s="40"/>
    </row>
    <row r="7" spans="1:19" ht="16.5" customHeight="1">
      <c r="A7" s="40"/>
      <c r="B7" s="111" t="s">
        <v>1090</v>
      </c>
      <c r="C7" s="112"/>
      <c r="D7" s="115" t="s">
        <v>1091</v>
      </c>
      <c r="E7" s="115"/>
      <c r="F7" s="115"/>
      <c r="G7" s="115"/>
      <c r="H7" s="40"/>
      <c r="I7" s="40"/>
    </row>
    <row r="8" spans="1:19" ht="16.5" customHeight="1">
      <c r="A8" s="40"/>
      <c r="B8" s="40"/>
      <c r="C8" s="40"/>
      <c r="D8" s="40"/>
      <c r="E8" s="40"/>
      <c r="F8" s="40"/>
      <c r="G8" s="40"/>
      <c r="H8" s="40"/>
      <c r="I8" s="40"/>
    </row>
    <row r="9" spans="1:19" ht="16.5" customHeight="1" thickBot="1">
      <c r="A9" s="40"/>
      <c r="B9" s="40"/>
      <c r="C9" s="40"/>
      <c r="D9" s="40"/>
      <c r="E9" s="40"/>
      <c r="F9" s="40"/>
      <c r="G9" s="40"/>
      <c r="H9" s="40"/>
      <c r="I9" s="40"/>
    </row>
    <row r="10" spans="1:19" ht="26.25" thickBot="1">
      <c r="A10" s="40"/>
      <c r="B10" s="40"/>
      <c r="C10" s="94" t="s">
        <v>4333</v>
      </c>
      <c r="D10" s="40"/>
      <c r="E10" s="40"/>
      <c r="F10" s="40"/>
      <c r="G10" s="40"/>
      <c r="H10" s="40"/>
      <c r="I10" s="40"/>
      <c r="O10" s="98" t="s">
        <v>4334</v>
      </c>
      <c r="Q10" s="131" t="s">
        <v>4537</v>
      </c>
      <c r="R10" s="132"/>
      <c r="S10" s="35" t="s">
        <v>2813</v>
      </c>
    </row>
    <row r="11" spans="1:19">
      <c r="A11" s="40"/>
      <c r="B11" s="40"/>
      <c r="C11" s="40"/>
      <c r="D11" s="40"/>
      <c r="E11" s="40"/>
      <c r="F11" s="40"/>
      <c r="G11" s="40"/>
      <c r="H11" s="40"/>
      <c r="I11" s="40"/>
      <c r="O11" s="130"/>
      <c r="P11" s="130"/>
    </row>
    <row r="12" spans="1:19">
      <c r="A12" s="40"/>
      <c r="B12" s="40" t="s">
        <v>235</v>
      </c>
      <c r="C12" s="40"/>
      <c r="D12" s="40"/>
      <c r="E12" s="40"/>
      <c r="F12" s="40"/>
      <c r="G12" s="40"/>
      <c r="H12" s="40"/>
      <c r="I12" s="40"/>
    </row>
    <row r="13" spans="1:19" ht="14.25" thickBot="1">
      <c r="A13" s="40"/>
      <c r="B13" s="116" t="s">
        <v>205</v>
      </c>
      <c r="C13" s="118"/>
      <c r="D13" s="113" t="s">
        <v>206</v>
      </c>
      <c r="E13" s="113"/>
      <c r="F13" s="113"/>
      <c r="G13" s="113"/>
      <c r="H13" s="40"/>
      <c r="I13" s="40"/>
    </row>
    <row r="14" spans="1:19" ht="16.5" customHeight="1" thickTop="1">
      <c r="A14" s="40"/>
      <c r="B14" s="42" t="s">
        <v>192</v>
      </c>
      <c r="C14" s="42"/>
      <c r="D14" s="114" t="s">
        <v>4213</v>
      </c>
      <c r="E14" s="114"/>
      <c r="F14" s="114"/>
      <c r="G14" s="114"/>
      <c r="H14" s="40"/>
      <c r="I14" s="40"/>
    </row>
    <row r="15" spans="1:19" ht="16.5" customHeight="1">
      <c r="A15" s="40"/>
      <c r="B15" s="40"/>
      <c r="C15" s="40"/>
      <c r="D15" s="40"/>
      <c r="E15" s="40"/>
      <c r="F15" s="40"/>
      <c r="G15" s="40"/>
      <c r="H15" s="40"/>
      <c r="I15" s="40"/>
    </row>
    <row r="16" spans="1:19" ht="16.5" customHeight="1">
      <c r="A16" s="40"/>
      <c r="B16" s="40"/>
      <c r="C16" s="40"/>
      <c r="D16" s="40"/>
      <c r="E16" s="40"/>
      <c r="F16" s="40"/>
      <c r="G16" s="40"/>
      <c r="H16" s="40"/>
      <c r="I16" s="40"/>
    </row>
    <row r="17" spans="1:13">
      <c r="A17" s="40"/>
      <c r="B17" s="40"/>
      <c r="C17" s="40"/>
      <c r="D17" s="40"/>
      <c r="E17" s="40"/>
      <c r="F17" s="40"/>
      <c r="G17" s="40"/>
      <c r="H17" s="40"/>
      <c r="I17" s="40"/>
    </row>
    <row r="18" spans="1:13">
      <c r="A18" s="40"/>
      <c r="B18" s="40"/>
      <c r="C18" s="40"/>
      <c r="D18" s="40"/>
      <c r="E18" s="40"/>
      <c r="F18" s="40"/>
      <c r="G18" s="40"/>
      <c r="H18" s="40"/>
      <c r="I18" s="40"/>
    </row>
    <row r="19" spans="1:13">
      <c r="A19" s="40"/>
      <c r="B19" s="40"/>
      <c r="C19" s="40"/>
      <c r="D19" s="40"/>
      <c r="E19" s="40"/>
      <c r="F19" s="40"/>
      <c r="G19" s="40"/>
      <c r="H19" s="40"/>
      <c r="I19" s="40"/>
    </row>
    <row r="20" spans="1:13">
      <c r="A20" s="40"/>
      <c r="B20" s="40"/>
      <c r="C20" s="40"/>
      <c r="D20" s="40"/>
      <c r="E20" s="40"/>
      <c r="F20" s="40"/>
      <c r="G20" s="40"/>
      <c r="H20" s="40"/>
      <c r="I20" s="40"/>
    </row>
    <row r="21" spans="1:13">
      <c r="A21" s="40"/>
      <c r="B21" s="40"/>
      <c r="C21" s="40"/>
      <c r="D21" s="40"/>
      <c r="E21" s="40"/>
      <c r="F21" s="40"/>
      <c r="G21" s="40"/>
      <c r="H21" s="40"/>
      <c r="I21" s="40"/>
    </row>
    <row r="22" spans="1:13">
      <c r="A22" s="40"/>
      <c r="B22" s="40" t="s">
        <v>236</v>
      </c>
      <c r="C22" s="40"/>
      <c r="D22" s="40"/>
      <c r="E22" s="40"/>
      <c r="F22" s="40"/>
      <c r="G22" s="40"/>
      <c r="H22" s="40"/>
      <c r="I22" s="40"/>
    </row>
    <row r="23" spans="1:13" ht="14.25" thickBot="1">
      <c r="A23" s="40"/>
      <c r="B23" s="116" t="s">
        <v>1</v>
      </c>
      <c r="C23" s="118"/>
      <c r="D23" s="116" t="s">
        <v>237</v>
      </c>
      <c r="E23" s="117"/>
      <c r="F23" s="117"/>
      <c r="G23" s="118"/>
      <c r="H23" s="116" t="s">
        <v>240</v>
      </c>
      <c r="I23" s="117"/>
      <c r="J23" s="135" t="s">
        <v>241</v>
      </c>
      <c r="K23" s="135"/>
      <c r="L23" s="135"/>
      <c r="M23" s="136"/>
    </row>
    <row r="24" spans="1:13" ht="14.25" thickTop="1">
      <c r="A24" s="40"/>
      <c r="B24" s="128" t="s">
        <v>1</v>
      </c>
      <c r="C24" s="129"/>
      <c r="D24" s="120" t="s">
        <v>238</v>
      </c>
      <c r="E24" s="121"/>
      <c r="F24" s="121"/>
      <c r="G24" s="122"/>
      <c r="H24" s="137" t="s">
        <v>242</v>
      </c>
      <c r="I24" s="137"/>
      <c r="J24" s="134" t="s">
        <v>246</v>
      </c>
      <c r="K24" s="134"/>
      <c r="L24" s="134"/>
      <c r="M24" s="134"/>
    </row>
    <row r="25" spans="1:13">
      <c r="A25" s="40"/>
      <c r="B25" s="111" t="s">
        <v>2</v>
      </c>
      <c r="C25" s="112"/>
      <c r="D25" s="111" t="s">
        <v>239</v>
      </c>
      <c r="E25" s="119"/>
      <c r="F25" s="119"/>
      <c r="G25" s="112"/>
      <c r="H25" s="115" t="s">
        <v>243</v>
      </c>
      <c r="I25" s="115"/>
      <c r="J25" s="133" t="s">
        <v>247</v>
      </c>
      <c r="K25" s="133"/>
      <c r="L25" s="133"/>
      <c r="M25" s="133"/>
    </row>
    <row r="26" spans="1:13">
      <c r="A26" s="40"/>
      <c r="B26" s="126" t="s">
        <v>3</v>
      </c>
      <c r="C26" s="127"/>
      <c r="D26" s="111" t="s">
        <v>259</v>
      </c>
      <c r="E26" s="119"/>
      <c r="F26" s="119"/>
      <c r="G26" s="112"/>
      <c r="H26" s="115" t="s">
        <v>244</v>
      </c>
      <c r="I26" s="115"/>
      <c r="J26" s="133" t="s">
        <v>250</v>
      </c>
      <c r="K26" s="133"/>
      <c r="L26" s="133"/>
      <c r="M26" s="133"/>
    </row>
    <row r="27" spans="1:13">
      <c r="A27" s="40"/>
      <c r="B27" s="126" t="s">
        <v>193</v>
      </c>
      <c r="C27" s="127"/>
      <c r="D27" s="111" t="s">
        <v>258</v>
      </c>
      <c r="E27" s="119"/>
      <c r="F27" s="119"/>
      <c r="G27" s="112"/>
      <c r="H27" s="115" t="s">
        <v>245</v>
      </c>
      <c r="I27" s="115"/>
      <c r="J27" s="133" t="s">
        <v>251</v>
      </c>
      <c r="K27" s="133"/>
      <c r="L27" s="133"/>
      <c r="M27" s="133"/>
    </row>
    <row r="28" spans="1:13">
      <c r="A28" s="40"/>
      <c r="B28" s="126" t="s">
        <v>194</v>
      </c>
      <c r="C28" s="127"/>
      <c r="D28" s="111" t="s">
        <v>257</v>
      </c>
      <c r="E28" s="119"/>
      <c r="F28" s="119"/>
      <c r="G28" s="112"/>
      <c r="H28" s="115" t="s">
        <v>245</v>
      </c>
      <c r="I28" s="115"/>
      <c r="J28" s="133" t="s">
        <v>252</v>
      </c>
      <c r="K28" s="133"/>
      <c r="L28" s="133"/>
      <c r="M28" s="133"/>
    </row>
    <row r="29" spans="1:13">
      <c r="A29" s="40"/>
      <c r="B29" s="111" t="s">
        <v>4</v>
      </c>
      <c r="C29" s="112"/>
      <c r="D29" s="111" t="s">
        <v>260</v>
      </c>
      <c r="E29" s="119"/>
      <c r="F29" s="119"/>
      <c r="G29" s="112"/>
      <c r="H29" s="115" t="s">
        <v>245</v>
      </c>
      <c r="I29" s="115"/>
      <c r="J29" s="133" t="s">
        <v>245</v>
      </c>
      <c r="K29" s="133"/>
      <c r="L29" s="133"/>
      <c r="M29" s="133"/>
    </row>
    <row r="30" spans="1:13">
      <c r="A30" s="40"/>
      <c r="B30" s="40" t="s">
        <v>253</v>
      </c>
      <c r="C30" s="40"/>
      <c r="D30" s="40"/>
      <c r="E30" s="40"/>
      <c r="F30" s="40"/>
      <c r="G30" s="40"/>
      <c r="H30" s="40"/>
      <c r="I30" s="40"/>
    </row>
    <row r="31" spans="1:13">
      <c r="A31" s="40"/>
      <c r="B31" s="40"/>
      <c r="C31" s="40"/>
      <c r="D31" s="40"/>
      <c r="E31" s="40"/>
      <c r="F31" s="40"/>
      <c r="G31" s="40"/>
      <c r="H31" s="40"/>
      <c r="I31" s="40"/>
    </row>
    <row r="32" spans="1:13">
      <c r="A32" s="40"/>
      <c r="B32" s="40"/>
      <c r="C32" s="40"/>
      <c r="D32" s="40"/>
      <c r="E32" s="40"/>
      <c r="F32" s="40"/>
      <c r="G32" s="40"/>
      <c r="H32" s="40"/>
      <c r="I32" s="40"/>
    </row>
    <row r="33" spans="1:9">
      <c r="A33" s="40"/>
      <c r="B33" s="40"/>
      <c r="C33" s="40"/>
      <c r="D33" s="40"/>
      <c r="E33" s="40"/>
      <c r="F33" s="40"/>
      <c r="G33" s="40"/>
      <c r="H33" s="40"/>
      <c r="I33" s="40"/>
    </row>
    <row r="34" spans="1:9" ht="14.25">
      <c r="A34" s="40"/>
      <c r="B34" s="95" t="s">
        <v>1032</v>
      </c>
      <c r="C34" s="40"/>
      <c r="D34" s="40"/>
      <c r="E34" s="40"/>
      <c r="F34" s="40"/>
      <c r="G34" s="40"/>
      <c r="H34" s="40"/>
      <c r="I34" s="40"/>
    </row>
    <row r="35" spans="1:9">
      <c r="A35" s="40"/>
      <c r="B35" s="40"/>
      <c r="C35" s="96" t="s">
        <v>1033</v>
      </c>
      <c r="D35" s="40"/>
      <c r="E35" s="40"/>
      <c r="F35" s="40"/>
      <c r="G35" s="40"/>
      <c r="H35" s="40"/>
      <c r="I35" s="40"/>
    </row>
    <row r="36" spans="1:9">
      <c r="A36" s="40"/>
      <c r="B36" s="40"/>
      <c r="C36" s="96" t="s">
        <v>1063</v>
      </c>
      <c r="D36" s="40"/>
      <c r="E36" s="40"/>
      <c r="F36" s="40"/>
      <c r="G36" s="40"/>
      <c r="H36" s="40"/>
      <c r="I36" s="40"/>
    </row>
    <row r="37" spans="1:9">
      <c r="A37" s="40"/>
      <c r="B37" s="40"/>
      <c r="C37" s="40"/>
      <c r="D37" s="40" t="s">
        <v>1038</v>
      </c>
      <c r="E37" s="40"/>
      <c r="F37" s="40"/>
      <c r="G37" s="40"/>
      <c r="H37" s="40"/>
      <c r="I37" s="40"/>
    </row>
    <row r="38" spans="1:9">
      <c r="A38" s="40"/>
      <c r="B38" s="40"/>
      <c r="C38" s="40"/>
      <c r="D38" s="40" t="s">
        <v>1035</v>
      </c>
      <c r="E38" s="40"/>
      <c r="F38" s="40"/>
      <c r="G38" s="40"/>
      <c r="H38" s="40"/>
      <c r="I38" s="40"/>
    </row>
    <row r="39" spans="1:9">
      <c r="A39" s="40"/>
      <c r="B39" s="40"/>
      <c r="C39" s="40"/>
      <c r="D39" s="40" t="s">
        <v>1036</v>
      </c>
      <c r="E39" s="40"/>
      <c r="F39" s="40"/>
      <c r="G39" s="40"/>
      <c r="H39" s="40"/>
      <c r="I39" s="40"/>
    </row>
    <row r="40" spans="1:9">
      <c r="A40" s="40"/>
      <c r="B40" s="40"/>
      <c r="C40" s="40"/>
      <c r="D40" s="40" t="s">
        <v>1037</v>
      </c>
      <c r="E40" s="40"/>
      <c r="F40" s="40"/>
      <c r="G40" s="40"/>
      <c r="H40" s="40"/>
      <c r="I40" s="40"/>
    </row>
    <row r="41" spans="1:9">
      <c r="A41" s="40"/>
      <c r="B41" s="40"/>
      <c r="C41" s="40"/>
      <c r="D41" s="40"/>
      <c r="E41" s="40"/>
      <c r="F41" s="40"/>
      <c r="G41" s="40"/>
      <c r="H41" s="40"/>
      <c r="I41" s="40"/>
    </row>
    <row r="42" spans="1:9" ht="14.25">
      <c r="A42" s="40"/>
      <c r="B42" s="95" t="s">
        <v>1044</v>
      </c>
      <c r="C42" s="40"/>
      <c r="D42" s="40"/>
      <c r="E42" s="40"/>
      <c r="F42" s="40"/>
      <c r="G42" s="40"/>
      <c r="H42" s="40"/>
      <c r="I42" s="40"/>
    </row>
    <row r="43" spans="1:9">
      <c r="A43" s="40"/>
      <c r="B43" s="40"/>
      <c r="C43" s="40"/>
      <c r="D43" s="40"/>
      <c r="E43" s="40"/>
      <c r="F43" s="40"/>
      <c r="G43" s="40"/>
      <c r="H43" s="40"/>
      <c r="I43" s="40"/>
    </row>
    <row r="44" spans="1:9">
      <c r="A44" s="40"/>
      <c r="B44" s="40"/>
      <c r="C44" s="40"/>
      <c r="D44" s="40"/>
      <c r="E44" s="40"/>
      <c r="F44" s="40"/>
      <c r="G44" s="40"/>
      <c r="H44" s="40"/>
      <c r="I44" s="40"/>
    </row>
    <row r="45" spans="1:9">
      <c r="A45" s="40"/>
      <c r="B45" s="40"/>
      <c r="C45" s="40"/>
      <c r="D45" s="40"/>
      <c r="E45" s="40"/>
      <c r="F45" s="40"/>
      <c r="G45" s="40"/>
      <c r="H45" s="40"/>
      <c r="I45" s="40"/>
    </row>
    <row r="46" spans="1:9">
      <c r="A46" s="40"/>
      <c r="B46" s="40"/>
      <c r="C46" s="40"/>
      <c r="D46" s="40"/>
      <c r="E46" s="40"/>
      <c r="F46" s="40"/>
      <c r="G46" s="40"/>
      <c r="H46" s="40"/>
      <c r="I46" s="40"/>
    </row>
    <row r="47" spans="1:9">
      <c r="A47" s="40"/>
      <c r="B47" s="40"/>
      <c r="C47" s="40"/>
      <c r="D47" s="40"/>
      <c r="E47" s="40"/>
      <c r="F47" s="40"/>
      <c r="G47" s="40"/>
      <c r="H47" s="40"/>
      <c r="I47" s="40"/>
    </row>
    <row r="48" spans="1:9">
      <c r="A48" s="40"/>
      <c r="B48" s="40"/>
      <c r="C48" s="40"/>
      <c r="D48" s="40"/>
      <c r="E48" s="40"/>
      <c r="F48" s="40"/>
      <c r="G48" s="40"/>
      <c r="H48" s="40"/>
      <c r="I48" s="40"/>
    </row>
    <row r="49" spans="1:9">
      <c r="A49" s="40"/>
      <c r="B49" s="40"/>
      <c r="C49" s="40"/>
      <c r="D49" s="40"/>
      <c r="E49" s="40"/>
      <c r="F49" s="40"/>
      <c r="G49" s="40"/>
      <c r="H49" s="40"/>
      <c r="I49" s="40"/>
    </row>
    <row r="50" spans="1:9">
      <c r="A50" s="40"/>
      <c r="B50" s="40"/>
      <c r="C50" s="40"/>
      <c r="D50" s="40"/>
      <c r="E50" s="40"/>
      <c r="F50" s="40"/>
      <c r="G50" s="40"/>
      <c r="H50" s="40"/>
      <c r="I50" s="40"/>
    </row>
    <row r="51" spans="1:9">
      <c r="A51" s="40"/>
      <c r="B51" s="40"/>
      <c r="C51" s="40"/>
      <c r="D51" s="40"/>
      <c r="E51" s="40"/>
      <c r="F51" s="40"/>
      <c r="G51" s="40"/>
      <c r="H51" s="40"/>
      <c r="I51" s="40"/>
    </row>
    <row r="52" spans="1:9">
      <c r="A52" s="40"/>
      <c r="B52" s="40"/>
      <c r="C52" s="40"/>
      <c r="D52" s="40"/>
      <c r="E52" s="40"/>
      <c r="F52" s="40"/>
      <c r="G52" s="40"/>
      <c r="H52" s="40"/>
      <c r="I52" s="40"/>
    </row>
    <row r="53" spans="1:9">
      <c r="A53" s="40"/>
      <c r="B53" s="40"/>
      <c r="C53" s="40"/>
      <c r="D53" s="40"/>
      <c r="E53" s="40"/>
      <c r="F53" s="40"/>
      <c r="G53" s="40"/>
      <c r="H53" s="40"/>
      <c r="I53" s="40"/>
    </row>
    <row r="54" spans="1:9">
      <c r="A54" s="40"/>
      <c r="B54" s="40"/>
      <c r="C54" s="40"/>
      <c r="D54" s="40"/>
      <c r="E54" s="40"/>
      <c r="F54" s="40"/>
      <c r="G54" s="40"/>
      <c r="H54" s="40"/>
      <c r="I54" s="40"/>
    </row>
    <row r="55" spans="1:9">
      <c r="A55" s="40"/>
      <c r="B55" s="40"/>
      <c r="C55" s="40"/>
      <c r="D55" s="40"/>
      <c r="E55" s="40"/>
      <c r="F55" s="40"/>
      <c r="G55" s="40"/>
      <c r="H55" s="40"/>
      <c r="I55" s="40"/>
    </row>
    <row r="56" spans="1:9">
      <c r="A56" s="40"/>
      <c r="B56" s="40"/>
      <c r="C56" s="40"/>
      <c r="D56" s="40"/>
      <c r="E56" s="40"/>
      <c r="F56" s="40"/>
      <c r="G56" s="40"/>
      <c r="H56" s="40"/>
      <c r="I56" s="40"/>
    </row>
    <row r="57" spans="1:9">
      <c r="A57" s="40"/>
      <c r="B57" s="40"/>
      <c r="C57" s="40"/>
      <c r="D57" s="40"/>
      <c r="E57" s="40"/>
      <c r="F57" s="40"/>
      <c r="G57" s="40"/>
      <c r="H57" s="40"/>
      <c r="I57" s="40"/>
    </row>
    <row r="58" spans="1:9">
      <c r="A58" s="40"/>
      <c r="B58" s="40"/>
      <c r="C58" s="40"/>
      <c r="D58" s="40"/>
      <c r="E58" s="40"/>
      <c r="F58" s="40"/>
      <c r="G58" s="40"/>
      <c r="H58" s="40"/>
      <c r="I58" s="40"/>
    </row>
    <row r="59" spans="1:9">
      <c r="A59" s="40"/>
      <c r="B59" s="40"/>
      <c r="C59" s="40"/>
      <c r="D59" s="40"/>
      <c r="E59" s="40"/>
      <c r="F59" s="40"/>
      <c r="G59" s="40"/>
      <c r="H59" s="40"/>
      <c r="I59" s="40"/>
    </row>
    <row r="60" spans="1:9">
      <c r="A60" s="40"/>
      <c r="B60" s="40"/>
      <c r="C60" s="40"/>
      <c r="D60" s="40"/>
      <c r="E60" s="40"/>
      <c r="F60" s="40"/>
      <c r="G60" s="40"/>
      <c r="H60" s="40"/>
      <c r="I60" s="40"/>
    </row>
    <row r="61" spans="1:9">
      <c r="A61" s="40"/>
      <c r="B61" s="40"/>
      <c r="C61" s="40"/>
      <c r="D61" s="40"/>
      <c r="E61" s="40"/>
      <c r="F61" s="40"/>
      <c r="G61" s="40"/>
      <c r="H61" s="40"/>
      <c r="I61" s="40"/>
    </row>
    <row r="62" spans="1:9">
      <c r="A62" s="40"/>
      <c r="B62" s="40"/>
      <c r="C62" s="40"/>
      <c r="D62" s="40"/>
      <c r="E62" s="40"/>
      <c r="F62" s="40"/>
      <c r="G62" s="40"/>
      <c r="H62" s="40"/>
      <c r="I62" s="40"/>
    </row>
    <row r="63" spans="1:9">
      <c r="A63" s="40"/>
      <c r="B63" s="40"/>
      <c r="C63" s="40"/>
      <c r="D63" s="40"/>
      <c r="E63" s="40"/>
      <c r="F63" s="40"/>
      <c r="G63" s="40"/>
      <c r="H63" s="40"/>
      <c r="I63" s="40"/>
    </row>
    <row r="64" spans="1:9">
      <c r="A64" s="40"/>
      <c r="B64" s="40"/>
      <c r="C64" s="40"/>
      <c r="D64" s="40"/>
      <c r="E64" s="40"/>
      <c r="F64" s="40"/>
      <c r="G64" s="40"/>
      <c r="H64" s="40"/>
      <c r="I64" s="40"/>
    </row>
    <row r="65" spans="1:9">
      <c r="A65" s="40"/>
      <c r="B65" s="40"/>
      <c r="C65" s="40"/>
      <c r="D65" s="40"/>
      <c r="E65" s="40"/>
      <c r="F65" s="40"/>
      <c r="G65" s="40"/>
      <c r="H65" s="40"/>
      <c r="I65" s="40"/>
    </row>
    <row r="66" spans="1:9">
      <c r="A66" s="40"/>
      <c r="B66" s="40"/>
      <c r="C66" s="40"/>
      <c r="D66" s="40"/>
      <c r="E66" s="40"/>
      <c r="F66" s="40"/>
      <c r="G66" s="40"/>
      <c r="H66" s="40"/>
      <c r="I66" s="40"/>
    </row>
    <row r="67" spans="1:9">
      <c r="A67" s="40"/>
      <c r="B67" s="40"/>
      <c r="C67" s="40"/>
      <c r="D67" s="40"/>
      <c r="E67" s="40"/>
      <c r="F67" s="40"/>
      <c r="G67" s="40"/>
      <c r="H67" s="40"/>
      <c r="I67" s="40"/>
    </row>
    <row r="68" spans="1:9">
      <c r="A68" s="40"/>
      <c r="B68" s="40"/>
      <c r="C68" s="40"/>
      <c r="D68" s="40"/>
      <c r="E68" s="40"/>
      <c r="F68" s="40"/>
      <c r="G68" s="40"/>
      <c r="H68" s="40"/>
      <c r="I68" s="40"/>
    </row>
    <row r="69" spans="1:9">
      <c r="A69" s="40"/>
      <c r="B69" s="40"/>
      <c r="C69" s="40"/>
      <c r="D69" s="40"/>
      <c r="E69" s="40"/>
      <c r="F69" s="40"/>
      <c r="G69" s="40"/>
      <c r="H69" s="40"/>
      <c r="I69" s="40"/>
    </row>
    <row r="70" spans="1:9">
      <c r="A70" s="40"/>
      <c r="B70" s="40"/>
      <c r="C70" s="40"/>
      <c r="D70" s="40"/>
      <c r="E70" s="40"/>
      <c r="F70" s="40"/>
      <c r="G70" s="40"/>
      <c r="H70" s="40"/>
      <c r="I70" s="40"/>
    </row>
    <row r="71" spans="1:9">
      <c r="A71" s="40"/>
      <c r="B71" s="40"/>
      <c r="C71" s="40"/>
      <c r="D71" s="40"/>
      <c r="E71" s="40"/>
      <c r="F71" s="40"/>
      <c r="G71" s="40"/>
      <c r="H71" s="40"/>
      <c r="I71" s="40"/>
    </row>
    <row r="72" spans="1:9">
      <c r="A72" s="40"/>
      <c r="B72" s="40"/>
      <c r="C72" s="40"/>
      <c r="D72" s="40"/>
      <c r="E72" s="40"/>
      <c r="F72" s="40"/>
      <c r="G72" s="40"/>
      <c r="H72" s="40"/>
      <c r="I72" s="40"/>
    </row>
    <row r="73" spans="1:9">
      <c r="A73" s="40"/>
      <c r="B73" s="40"/>
      <c r="C73" s="40"/>
      <c r="D73" s="40"/>
      <c r="E73" s="40"/>
      <c r="F73" s="40"/>
      <c r="G73" s="40"/>
      <c r="H73" s="40"/>
      <c r="I73" s="40"/>
    </row>
    <row r="74" spans="1:9">
      <c r="A74" s="40"/>
      <c r="B74" s="40"/>
      <c r="C74" s="40"/>
      <c r="D74" s="40"/>
      <c r="E74" s="40"/>
      <c r="F74" s="40"/>
      <c r="G74" s="40"/>
      <c r="H74" s="40"/>
      <c r="I74" s="40"/>
    </row>
    <row r="75" spans="1:9">
      <c r="A75" s="40"/>
      <c r="B75" s="40"/>
      <c r="C75" s="40"/>
      <c r="D75" s="40"/>
      <c r="E75" s="40"/>
      <c r="F75" s="40"/>
      <c r="G75" s="40"/>
      <c r="H75" s="40"/>
      <c r="I75" s="40"/>
    </row>
    <row r="76" spans="1:9">
      <c r="A76" s="40"/>
      <c r="B76" s="40"/>
      <c r="C76" s="40"/>
      <c r="D76" s="40"/>
      <c r="E76" s="40"/>
      <c r="F76" s="40"/>
      <c r="G76" s="40"/>
      <c r="H76" s="40"/>
      <c r="I76" s="40"/>
    </row>
    <row r="77" spans="1:9">
      <c r="A77" s="40"/>
      <c r="B77" s="40"/>
      <c r="C77" s="40"/>
      <c r="D77" s="40"/>
      <c r="E77" s="40"/>
      <c r="F77" s="40"/>
      <c r="G77" s="40"/>
      <c r="H77" s="40"/>
      <c r="I77" s="40"/>
    </row>
    <row r="78" spans="1:9">
      <c r="A78" s="40"/>
      <c r="B78" s="40"/>
      <c r="C78" s="40"/>
      <c r="D78" s="40"/>
      <c r="E78" s="40"/>
      <c r="F78" s="40"/>
      <c r="G78" s="40"/>
      <c r="H78" s="40"/>
      <c r="I78" s="40"/>
    </row>
    <row r="79" spans="1:9">
      <c r="A79" s="40"/>
      <c r="B79" s="40"/>
      <c r="C79" s="40"/>
      <c r="D79" s="40"/>
      <c r="E79" s="40"/>
      <c r="F79" s="40"/>
      <c r="G79" s="40"/>
      <c r="H79" s="40"/>
      <c r="I79" s="40"/>
    </row>
    <row r="80" spans="1:9">
      <c r="A80" s="40"/>
      <c r="B80" s="40"/>
      <c r="C80" s="40"/>
      <c r="D80" s="40"/>
      <c r="E80" s="40"/>
      <c r="F80" s="40"/>
      <c r="G80" s="40"/>
      <c r="H80" s="40"/>
      <c r="I80" s="40"/>
    </row>
    <row r="81" spans="1:9">
      <c r="A81" s="40"/>
      <c r="B81" s="40"/>
      <c r="C81" s="40"/>
      <c r="D81" s="40"/>
      <c r="E81" s="40"/>
      <c r="F81" s="40"/>
      <c r="G81" s="40"/>
      <c r="H81" s="40"/>
      <c r="I81" s="40"/>
    </row>
    <row r="82" spans="1:9">
      <c r="A82" s="40"/>
      <c r="B82" s="40"/>
      <c r="C82" s="40"/>
      <c r="D82" s="40"/>
      <c r="E82" s="40"/>
      <c r="F82" s="40"/>
      <c r="G82" s="40"/>
      <c r="H82" s="40"/>
      <c r="I82" s="40"/>
    </row>
    <row r="83" spans="1:9">
      <c r="A83" s="40"/>
      <c r="B83" s="40"/>
      <c r="C83" s="40"/>
      <c r="D83" s="40"/>
      <c r="E83" s="40"/>
      <c r="F83" s="40"/>
      <c r="G83" s="40"/>
      <c r="H83" s="40"/>
      <c r="I83" s="40"/>
    </row>
    <row r="84" spans="1:9">
      <c r="A84" s="40"/>
      <c r="B84" s="40"/>
      <c r="C84" s="40"/>
      <c r="D84" s="40"/>
      <c r="E84" s="40"/>
      <c r="F84" s="40"/>
      <c r="G84" s="40"/>
      <c r="H84" s="40"/>
      <c r="I84" s="40"/>
    </row>
    <row r="85" spans="1:9">
      <c r="A85" s="40"/>
      <c r="B85" s="40"/>
      <c r="C85" s="40"/>
      <c r="D85" s="40"/>
      <c r="E85" s="40"/>
      <c r="F85" s="40"/>
      <c r="G85" s="40"/>
      <c r="H85" s="40"/>
      <c r="I85" s="40"/>
    </row>
    <row r="86" spans="1:9">
      <c r="A86" s="40"/>
      <c r="B86" s="40"/>
      <c r="C86" s="40"/>
      <c r="D86" s="40"/>
      <c r="E86" s="40"/>
      <c r="F86" s="40"/>
      <c r="G86" s="40"/>
      <c r="H86" s="40"/>
      <c r="I86" s="40"/>
    </row>
    <row r="87" spans="1:9">
      <c r="A87" s="40"/>
      <c r="B87" s="40"/>
      <c r="C87" s="40"/>
      <c r="D87" s="40"/>
      <c r="E87" s="40"/>
      <c r="F87" s="40"/>
      <c r="G87" s="40"/>
      <c r="H87" s="40"/>
      <c r="I87" s="40"/>
    </row>
    <row r="88" spans="1:9">
      <c r="A88" s="40"/>
      <c r="B88" s="40"/>
      <c r="C88" s="40"/>
      <c r="D88" s="40"/>
      <c r="E88" s="40"/>
      <c r="F88" s="40"/>
      <c r="G88" s="40"/>
      <c r="H88" s="40"/>
      <c r="I88" s="40"/>
    </row>
    <row r="89" spans="1:9">
      <c r="A89" s="40"/>
      <c r="B89" s="40"/>
      <c r="C89" s="40"/>
      <c r="D89" s="40"/>
      <c r="E89" s="40"/>
      <c r="F89" s="40"/>
      <c r="G89" s="40"/>
      <c r="H89" s="40"/>
      <c r="I89" s="40"/>
    </row>
    <row r="90" spans="1:9">
      <c r="A90" s="40"/>
      <c r="B90" s="40"/>
      <c r="C90" s="40"/>
      <c r="D90" s="40"/>
      <c r="E90" s="40"/>
      <c r="F90" s="40"/>
      <c r="G90" s="40"/>
      <c r="H90" s="40"/>
      <c r="I90" s="40"/>
    </row>
    <row r="91" spans="1:9">
      <c r="A91" s="40"/>
      <c r="B91" s="40"/>
      <c r="C91" s="40"/>
      <c r="D91" s="40"/>
      <c r="E91" s="40"/>
      <c r="F91" s="40"/>
      <c r="G91" s="40"/>
      <c r="H91" s="40"/>
      <c r="I91" s="40"/>
    </row>
    <row r="92" spans="1:9">
      <c r="A92" s="40"/>
      <c r="B92" s="40"/>
      <c r="C92" s="40"/>
      <c r="D92" s="40"/>
      <c r="E92" s="40"/>
      <c r="F92" s="40"/>
      <c r="G92" s="40"/>
      <c r="H92" s="40"/>
      <c r="I92" s="40"/>
    </row>
    <row r="93" spans="1:9">
      <c r="A93" s="40"/>
      <c r="B93" s="40"/>
      <c r="C93" s="40"/>
      <c r="D93" s="40"/>
      <c r="E93" s="40"/>
      <c r="F93" s="40"/>
      <c r="G93" s="40"/>
      <c r="H93" s="40"/>
      <c r="I93" s="40"/>
    </row>
    <row r="94" spans="1:9">
      <c r="A94" s="40"/>
      <c r="B94" s="40"/>
      <c r="C94" s="40"/>
      <c r="D94" s="40"/>
      <c r="E94" s="40"/>
      <c r="F94" s="40"/>
      <c r="G94" s="40"/>
      <c r="H94" s="40"/>
      <c r="I94" s="40"/>
    </row>
    <row r="95" spans="1:9">
      <c r="A95" s="40"/>
      <c r="B95" s="40"/>
      <c r="C95" s="40"/>
      <c r="D95" s="40"/>
      <c r="E95" s="40"/>
      <c r="F95" s="40"/>
      <c r="G95" s="40"/>
      <c r="H95" s="40"/>
      <c r="I95" s="40"/>
    </row>
    <row r="96" spans="1:9">
      <c r="A96" s="40"/>
      <c r="B96" s="40"/>
      <c r="C96" s="40"/>
      <c r="D96" s="40"/>
      <c r="E96" s="40"/>
      <c r="F96" s="40"/>
      <c r="G96" s="40"/>
      <c r="H96" s="40"/>
      <c r="I96" s="40"/>
    </row>
    <row r="97" spans="1:9">
      <c r="A97" s="40"/>
      <c r="B97" s="40"/>
      <c r="C97" s="40"/>
      <c r="D97" s="40"/>
      <c r="E97" s="40"/>
      <c r="F97" s="40"/>
      <c r="G97" s="40"/>
      <c r="H97" s="40"/>
      <c r="I97" s="40"/>
    </row>
    <row r="98" spans="1:9">
      <c r="A98" s="40"/>
      <c r="B98" s="40"/>
      <c r="C98" s="40"/>
      <c r="D98" s="40"/>
      <c r="E98" s="40"/>
      <c r="F98" s="40"/>
      <c r="G98" s="40"/>
      <c r="H98" s="40"/>
      <c r="I98" s="40"/>
    </row>
    <row r="99" spans="1:9">
      <c r="A99" s="40"/>
      <c r="B99" s="40"/>
      <c r="C99" s="40"/>
      <c r="D99" s="40"/>
      <c r="E99" s="40"/>
      <c r="F99" s="40"/>
      <c r="G99" s="40"/>
      <c r="H99" s="40"/>
      <c r="I99" s="40"/>
    </row>
    <row r="100" spans="1:9">
      <c r="A100" s="40"/>
      <c r="B100" s="40"/>
      <c r="C100" s="40"/>
      <c r="D100" s="40"/>
      <c r="E100" s="40"/>
      <c r="F100" s="40"/>
      <c r="G100" s="40"/>
      <c r="H100" s="40"/>
      <c r="I100" s="40"/>
    </row>
    <row r="101" spans="1:9">
      <c r="A101" s="40"/>
      <c r="B101" s="40"/>
      <c r="C101" s="40"/>
      <c r="D101" s="40"/>
      <c r="E101" s="40"/>
      <c r="F101" s="40"/>
      <c r="G101" s="40"/>
      <c r="H101" s="40"/>
      <c r="I101" s="40"/>
    </row>
    <row r="102" spans="1:9">
      <c r="A102" s="40"/>
      <c r="B102" s="40"/>
      <c r="C102" s="40"/>
      <c r="D102" s="40"/>
      <c r="E102" s="40"/>
      <c r="F102" s="40"/>
      <c r="G102" s="40"/>
      <c r="H102" s="40"/>
      <c r="I102" s="40"/>
    </row>
    <row r="103" spans="1:9">
      <c r="A103" s="40"/>
      <c r="B103" s="40"/>
      <c r="C103" s="40"/>
      <c r="D103" s="40"/>
      <c r="E103" s="40"/>
      <c r="F103" s="40"/>
      <c r="G103" s="40"/>
      <c r="H103" s="40"/>
      <c r="I103" s="40"/>
    </row>
    <row r="104" spans="1:9">
      <c r="A104" s="40"/>
      <c r="B104" s="40"/>
      <c r="C104" s="40"/>
      <c r="D104" s="40"/>
      <c r="E104" s="40"/>
      <c r="F104" s="40"/>
      <c r="G104" s="40"/>
      <c r="H104" s="40"/>
      <c r="I104" s="40"/>
    </row>
    <row r="105" spans="1:9">
      <c r="A105" s="40"/>
      <c r="B105" s="40"/>
      <c r="C105" s="40"/>
      <c r="D105" s="40"/>
      <c r="E105" s="40"/>
      <c r="F105" s="40"/>
      <c r="G105" s="40"/>
      <c r="H105" s="40"/>
      <c r="I105" s="40"/>
    </row>
    <row r="106" spans="1:9">
      <c r="A106" s="40"/>
      <c r="B106" s="40"/>
      <c r="C106" s="40"/>
      <c r="D106" s="40"/>
      <c r="E106" s="40"/>
      <c r="F106" s="40"/>
      <c r="G106" s="40"/>
      <c r="H106" s="40"/>
      <c r="I106" s="40"/>
    </row>
    <row r="107" spans="1:9">
      <c r="A107" s="40"/>
      <c r="B107" s="40"/>
      <c r="C107" s="40"/>
      <c r="D107" s="40"/>
      <c r="E107" s="40"/>
      <c r="F107" s="40"/>
      <c r="G107" s="40"/>
      <c r="H107" s="40"/>
      <c r="I107" s="40"/>
    </row>
    <row r="108" spans="1:9">
      <c r="A108" s="40"/>
      <c r="B108" s="40"/>
      <c r="C108" s="40"/>
      <c r="D108" s="40"/>
      <c r="E108" s="40"/>
      <c r="F108" s="40"/>
      <c r="G108" s="40"/>
      <c r="H108" s="40"/>
      <c r="I108" s="40"/>
    </row>
    <row r="109" spans="1:9">
      <c r="A109" s="40"/>
      <c r="B109" s="40"/>
      <c r="C109" s="40"/>
      <c r="D109" s="40"/>
      <c r="E109" s="40"/>
      <c r="F109" s="40"/>
      <c r="G109" s="40"/>
      <c r="H109" s="40"/>
      <c r="I109" s="40"/>
    </row>
    <row r="110" spans="1:9">
      <c r="A110" s="40"/>
      <c r="B110" s="40"/>
      <c r="C110" s="40"/>
      <c r="D110" s="40"/>
      <c r="E110" s="40"/>
      <c r="F110" s="40"/>
      <c r="G110" s="40"/>
      <c r="H110" s="40"/>
      <c r="I110" s="40"/>
    </row>
    <row r="111" spans="1:9">
      <c r="A111" s="40"/>
      <c r="B111" s="40"/>
      <c r="C111" s="40"/>
      <c r="D111" s="40"/>
      <c r="E111" s="40"/>
      <c r="F111" s="40"/>
      <c r="G111" s="40"/>
      <c r="H111" s="40"/>
      <c r="I111" s="40"/>
    </row>
    <row r="112" spans="1:9">
      <c r="A112" s="40"/>
      <c r="B112" s="40"/>
      <c r="C112" s="40"/>
      <c r="D112" s="40"/>
      <c r="E112" s="40"/>
      <c r="F112" s="40"/>
      <c r="G112" s="40"/>
      <c r="H112" s="40"/>
      <c r="I112" s="40"/>
    </row>
    <row r="113" spans="1:9">
      <c r="A113" s="40"/>
      <c r="B113" s="40"/>
      <c r="C113" s="40"/>
      <c r="D113" s="40"/>
      <c r="E113" s="40"/>
      <c r="F113" s="40"/>
      <c r="G113" s="40"/>
      <c r="H113" s="40"/>
      <c r="I113" s="40"/>
    </row>
    <row r="114" spans="1:9">
      <c r="A114" s="40"/>
      <c r="B114" s="40"/>
      <c r="C114" s="40"/>
      <c r="D114" s="40"/>
      <c r="E114" s="40"/>
      <c r="F114" s="40"/>
      <c r="G114" s="40"/>
      <c r="H114" s="40"/>
      <c r="I114" s="40"/>
    </row>
    <row r="115" spans="1:9">
      <c r="A115" s="40"/>
      <c r="B115" s="40"/>
      <c r="C115" s="40"/>
      <c r="D115" s="40"/>
      <c r="E115" s="40"/>
      <c r="F115" s="40"/>
      <c r="G115" s="40"/>
      <c r="H115" s="40"/>
      <c r="I115" s="40"/>
    </row>
    <row r="116" spans="1:9">
      <c r="A116" s="40"/>
      <c r="B116" s="40"/>
      <c r="C116" s="40"/>
      <c r="D116" s="40"/>
      <c r="E116" s="40"/>
      <c r="F116" s="40"/>
      <c r="G116" s="40"/>
      <c r="H116" s="40"/>
      <c r="I116" s="40"/>
    </row>
    <row r="117" spans="1:9">
      <c r="A117" s="40"/>
      <c r="B117" s="40"/>
      <c r="C117" s="40"/>
      <c r="D117" s="40"/>
      <c r="E117" s="40"/>
      <c r="F117" s="40"/>
      <c r="G117" s="40"/>
      <c r="H117" s="40"/>
      <c r="I117" s="40"/>
    </row>
    <row r="118" spans="1:9">
      <c r="A118" s="40"/>
      <c r="B118" s="40"/>
      <c r="C118" s="40"/>
      <c r="D118" s="40"/>
      <c r="E118" s="40"/>
      <c r="F118" s="40"/>
      <c r="G118" s="40"/>
      <c r="H118" s="40"/>
      <c r="I118" s="40"/>
    </row>
    <row r="119" spans="1:9">
      <c r="A119" s="40"/>
      <c r="B119" s="40"/>
      <c r="C119" s="40"/>
      <c r="D119" s="40"/>
      <c r="E119" s="40"/>
      <c r="F119" s="40"/>
      <c r="G119" s="40"/>
      <c r="H119" s="40"/>
      <c r="I119" s="40"/>
    </row>
    <row r="120" spans="1:9">
      <c r="A120" s="40"/>
      <c r="B120" s="40"/>
      <c r="C120" s="40"/>
      <c r="D120" s="40"/>
      <c r="E120" s="40"/>
      <c r="F120" s="40"/>
      <c r="G120" s="40"/>
      <c r="H120" s="40"/>
      <c r="I120" s="40"/>
    </row>
    <row r="121" spans="1:9">
      <c r="A121" s="40"/>
      <c r="B121" s="40"/>
      <c r="C121" s="40"/>
      <c r="D121" s="40"/>
      <c r="E121" s="40"/>
      <c r="F121" s="40"/>
      <c r="G121" s="40"/>
      <c r="H121" s="40"/>
      <c r="I121" s="40"/>
    </row>
    <row r="122" spans="1:9">
      <c r="A122" s="40"/>
      <c r="B122" s="40"/>
      <c r="C122" s="40"/>
      <c r="D122" s="40"/>
      <c r="E122" s="40"/>
      <c r="F122" s="40"/>
      <c r="G122" s="40"/>
      <c r="H122" s="40"/>
      <c r="I122" s="40"/>
    </row>
    <row r="123" spans="1:9">
      <c r="A123" s="40"/>
      <c r="B123" s="40"/>
      <c r="C123" s="40"/>
      <c r="D123" s="40"/>
      <c r="E123" s="40"/>
      <c r="F123" s="40"/>
      <c r="G123" s="40"/>
      <c r="H123" s="40"/>
      <c r="I123" s="40"/>
    </row>
    <row r="124" spans="1:9">
      <c r="A124" s="40"/>
      <c r="B124" s="40"/>
      <c r="C124" s="40"/>
      <c r="D124" s="40"/>
      <c r="E124" s="40"/>
      <c r="F124" s="40"/>
      <c r="G124" s="40"/>
      <c r="H124" s="40"/>
      <c r="I124" s="40"/>
    </row>
    <row r="125" spans="1:9">
      <c r="A125" s="40"/>
      <c r="B125" s="40"/>
      <c r="C125" s="40"/>
      <c r="D125" s="40"/>
      <c r="E125" s="40"/>
      <c r="F125" s="40"/>
      <c r="G125" s="40"/>
      <c r="H125" s="40"/>
      <c r="I125" s="40"/>
    </row>
    <row r="126" spans="1:9">
      <c r="A126" s="40"/>
      <c r="B126" s="40"/>
      <c r="C126" s="40"/>
      <c r="D126" s="40"/>
      <c r="E126" s="40"/>
      <c r="F126" s="40"/>
      <c r="G126" s="40"/>
      <c r="H126" s="40"/>
      <c r="I126" s="40"/>
    </row>
    <row r="127" spans="1:9">
      <c r="A127" s="40"/>
      <c r="B127" s="40"/>
      <c r="C127" s="40"/>
      <c r="D127" s="40"/>
      <c r="E127" s="40"/>
      <c r="F127" s="40"/>
      <c r="G127" s="40"/>
      <c r="H127" s="40"/>
      <c r="I127" s="40"/>
    </row>
    <row r="128" spans="1:9">
      <c r="A128" s="40"/>
      <c r="B128" s="40"/>
      <c r="C128" s="40"/>
      <c r="D128" s="40"/>
      <c r="E128" s="40"/>
      <c r="F128" s="40"/>
      <c r="G128" s="40"/>
      <c r="H128" s="40"/>
      <c r="I128" s="40"/>
    </row>
    <row r="129" spans="1:9">
      <c r="A129" s="40"/>
      <c r="B129" s="40"/>
      <c r="C129" s="40"/>
      <c r="D129" s="40"/>
      <c r="E129" s="40"/>
      <c r="F129" s="40"/>
      <c r="G129" s="40"/>
      <c r="H129" s="40"/>
      <c r="I129" s="40"/>
    </row>
    <row r="130" spans="1:9">
      <c r="A130" s="40"/>
      <c r="B130" s="40"/>
      <c r="C130" s="40"/>
      <c r="D130" s="40"/>
      <c r="E130" s="40"/>
      <c r="F130" s="40"/>
      <c r="G130" s="40"/>
      <c r="H130" s="40"/>
      <c r="I130" s="40"/>
    </row>
    <row r="131" spans="1:9">
      <c r="A131" s="40"/>
      <c r="B131" s="40"/>
      <c r="C131" s="40"/>
      <c r="D131" s="40"/>
      <c r="E131" s="40"/>
      <c r="F131" s="40"/>
      <c r="G131" s="40"/>
      <c r="H131" s="40"/>
      <c r="I131" s="40"/>
    </row>
    <row r="132" spans="1:9">
      <c r="A132" s="40"/>
      <c r="B132" s="40"/>
      <c r="C132" s="40"/>
      <c r="D132" s="40"/>
      <c r="E132" s="40"/>
      <c r="F132" s="40"/>
      <c r="G132" s="40"/>
      <c r="H132" s="40"/>
      <c r="I132" s="40"/>
    </row>
    <row r="133" spans="1:9">
      <c r="A133" s="40"/>
      <c r="B133" s="40"/>
      <c r="C133" s="40"/>
      <c r="D133" s="40"/>
      <c r="E133" s="40"/>
      <c r="F133" s="40"/>
      <c r="G133" s="40"/>
      <c r="H133" s="40"/>
      <c r="I133" s="40"/>
    </row>
    <row r="134" spans="1:9">
      <c r="A134" s="40"/>
      <c r="B134" s="40"/>
      <c r="C134" s="40"/>
      <c r="D134" s="40"/>
      <c r="E134" s="40"/>
      <c r="F134" s="40"/>
      <c r="G134" s="40"/>
      <c r="H134" s="40"/>
      <c r="I134" s="40"/>
    </row>
    <row r="135" spans="1:9">
      <c r="A135" s="40"/>
      <c r="B135" s="40"/>
      <c r="C135" s="40"/>
      <c r="D135" s="40"/>
      <c r="E135" s="40"/>
      <c r="F135" s="40"/>
      <c r="G135" s="40"/>
      <c r="H135" s="40"/>
      <c r="I135" s="40"/>
    </row>
    <row r="136" spans="1:9">
      <c r="A136" s="40"/>
      <c r="B136" s="40"/>
      <c r="C136" s="40"/>
      <c r="D136" s="40"/>
      <c r="E136" s="40"/>
      <c r="F136" s="40"/>
      <c r="G136" s="40"/>
      <c r="H136" s="40"/>
      <c r="I136" s="40"/>
    </row>
    <row r="137" spans="1:9">
      <c r="A137" s="40"/>
      <c r="B137" s="40"/>
      <c r="C137" s="40"/>
      <c r="D137" s="40"/>
      <c r="E137" s="40"/>
      <c r="F137" s="40"/>
      <c r="G137" s="40"/>
      <c r="H137" s="40"/>
      <c r="I137" s="40"/>
    </row>
    <row r="138" spans="1:9">
      <c r="A138" s="40"/>
      <c r="B138" s="40"/>
      <c r="C138" s="40"/>
      <c r="D138" s="40"/>
      <c r="E138" s="40"/>
      <c r="F138" s="40"/>
      <c r="G138" s="40"/>
      <c r="H138" s="40"/>
      <c r="I138" s="40"/>
    </row>
    <row r="139" spans="1:9">
      <c r="A139" s="40"/>
      <c r="B139" s="40"/>
      <c r="C139" s="40"/>
      <c r="D139" s="40"/>
      <c r="E139" s="40"/>
      <c r="F139" s="40"/>
      <c r="G139" s="40"/>
      <c r="H139" s="40"/>
      <c r="I139" s="40"/>
    </row>
    <row r="140" spans="1:9">
      <c r="A140" s="40"/>
      <c r="B140" s="40"/>
      <c r="C140" s="40"/>
      <c r="D140" s="40"/>
      <c r="E140" s="40"/>
      <c r="F140" s="40"/>
      <c r="G140" s="40"/>
      <c r="H140" s="40"/>
      <c r="I140" s="40"/>
    </row>
    <row r="141" spans="1:9">
      <c r="A141" s="40"/>
      <c r="B141" s="40"/>
      <c r="C141" s="40"/>
      <c r="D141" s="40"/>
      <c r="E141" s="40"/>
      <c r="F141" s="40"/>
      <c r="G141" s="40"/>
      <c r="H141" s="40"/>
      <c r="I141" s="40"/>
    </row>
    <row r="142" spans="1:9">
      <c r="A142" s="40"/>
      <c r="B142" s="40"/>
      <c r="C142" s="40"/>
      <c r="D142" s="40"/>
      <c r="E142" s="40"/>
      <c r="F142" s="40"/>
      <c r="G142" s="40"/>
      <c r="H142" s="40"/>
      <c r="I142" s="40"/>
    </row>
    <row r="143" spans="1:9">
      <c r="A143" s="40"/>
      <c r="B143" s="40"/>
      <c r="C143" s="40"/>
      <c r="D143" s="40"/>
      <c r="E143" s="40"/>
      <c r="F143" s="40"/>
      <c r="G143" s="40"/>
      <c r="H143" s="40"/>
      <c r="I143" s="40"/>
    </row>
    <row r="144" spans="1:9">
      <c r="A144" s="40"/>
      <c r="B144" s="40"/>
      <c r="C144" s="40"/>
      <c r="D144" s="40"/>
      <c r="E144" s="40"/>
      <c r="F144" s="40"/>
      <c r="G144" s="40"/>
      <c r="H144" s="40"/>
      <c r="I144" s="40"/>
    </row>
    <row r="145" spans="1:9">
      <c r="A145" s="40"/>
      <c r="B145" s="40"/>
      <c r="C145" s="40"/>
      <c r="D145" s="40"/>
      <c r="E145" s="40"/>
      <c r="F145" s="40"/>
      <c r="G145" s="40"/>
      <c r="H145" s="40"/>
      <c r="I145" s="40"/>
    </row>
    <row r="146" spans="1:9">
      <c r="A146" s="40"/>
      <c r="B146" s="40"/>
      <c r="C146" s="40"/>
      <c r="D146" s="40"/>
      <c r="E146" s="40"/>
      <c r="F146" s="40"/>
      <c r="G146" s="40"/>
      <c r="H146" s="40"/>
      <c r="I146" s="40"/>
    </row>
    <row r="147" spans="1:9">
      <c r="A147" s="40"/>
      <c r="B147" s="40"/>
      <c r="C147" s="40"/>
      <c r="D147" s="40"/>
      <c r="E147" s="40"/>
      <c r="F147" s="40"/>
      <c r="G147" s="40"/>
      <c r="H147" s="40"/>
      <c r="I147" s="40"/>
    </row>
    <row r="148" spans="1:9">
      <c r="A148" s="40"/>
      <c r="B148" s="40"/>
      <c r="C148" s="40"/>
      <c r="D148" s="40"/>
      <c r="E148" s="40"/>
      <c r="F148" s="40"/>
      <c r="G148" s="40"/>
      <c r="H148" s="40"/>
      <c r="I148" s="40"/>
    </row>
    <row r="149" spans="1:9">
      <c r="A149" s="40"/>
      <c r="B149" s="40"/>
      <c r="C149" s="40"/>
      <c r="D149" s="40"/>
      <c r="E149" s="40"/>
      <c r="F149" s="40"/>
      <c r="G149" s="40"/>
      <c r="H149" s="40"/>
      <c r="I149" s="40"/>
    </row>
    <row r="150" spans="1:9">
      <c r="A150" s="40"/>
      <c r="B150" s="40"/>
      <c r="C150" s="40"/>
      <c r="D150" s="40"/>
      <c r="E150" s="40"/>
      <c r="F150" s="40"/>
      <c r="G150" s="40"/>
      <c r="H150" s="40"/>
      <c r="I150" s="40"/>
    </row>
    <row r="151" spans="1:9">
      <c r="A151" s="40"/>
      <c r="B151" s="40"/>
      <c r="C151" s="40"/>
      <c r="D151" s="40"/>
      <c r="E151" s="40"/>
      <c r="F151" s="40"/>
      <c r="G151" s="40"/>
      <c r="H151" s="40"/>
      <c r="I151" s="40"/>
    </row>
    <row r="152" spans="1:9">
      <c r="A152" s="40"/>
      <c r="B152" s="40"/>
      <c r="C152" s="40"/>
      <c r="D152" s="40"/>
      <c r="E152" s="40"/>
      <c r="F152" s="40"/>
      <c r="G152" s="40"/>
      <c r="H152" s="40"/>
      <c r="I152" s="40"/>
    </row>
    <row r="153" spans="1:9">
      <c r="A153" s="40"/>
      <c r="B153" s="40"/>
      <c r="C153" s="40"/>
      <c r="D153" s="40"/>
      <c r="E153" s="40"/>
      <c r="F153" s="40"/>
      <c r="G153" s="40"/>
      <c r="H153" s="40"/>
      <c r="I153" s="40"/>
    </row>
    <row r="154" spans="1:9">
      <c r="A154" s="40"/>
      <c r="B154" s="40"/>
      <c r="C154" s="40"/>
      <c r="D154" s="40"/>
      <c r="E154" s="40"/>
      <c r="F154" s="40"/>
      <c r="G154" s="40"/>
      <c r="H154" s="40"/>
      <c r="I154" s="40"/>
    </row>
    <row r="155" spans="1:9">
      <c r="A155" s="40"/>
      <c r="B155" s="40"/>
      <c r="C155" s="40"/>
      <c r="D155" s="40"/>
      <c r="E155" s="40"/>
      <c r="F155" s="40"/>
      <c r="G155" s="40"/>
      <c r="H155" s="40"/>
      <c r="I155" s="40"/>
    </row>
    <row r="156" spans="1:9">
      <c r="A156" s="40"/>
      <c r="B156" s="40"/>
      <c r="C156" s="40"/>
      <c r="D156" s="40"/>
      <c r="E156" s="40"/>
      <c r="F156" s="40"/>
      <c r="G156" s="40"/>
      <c r="H156" s="40"/>
      <c r="I156" s="40"/>
    </row>
    <row r="157" spans="1:9">
      <c r="A157" s="40"/>
      <c r="B157" s="40"/>
      <c r="C157" s="40"/>
      <c r="D157" s="40"/>
      <c r="E157" s="40"/>
      <c r="F157" s="40"/>
      <c r="G157" s="40"/>
      <c r="H157" s="40"/>
      <c r="I157" s="40"/>
    </row>
    <row r="158" spans="1:9">
      <c r="A158" s="40"/>
      <c r="B158" s="40"/>
      <c r="C158" s="40"/>
      <c r="D158" s="40"/>
      <c r="E158" s="40"/>
      <c r="F158" s="40"/>
      <c r="G158" s="40"/>
      <c r="H158" s="40"/>
      <c r="I158" s="40"/>
    </row>
    <row r="159" spans="1:9">
      <c r="A159" s="40"/>
      <c r="B159" s="40"/>
      <c r="C159" s="40"/>
      <c r="D159" s="40"/>
      <c r="E159" s="40"/>
      <c r="F159" s="40"/>
      <c r="G159" s="40"/>
      <c r="H159" s="40"/>
      <c r="I159" s="40"/>
    </row>
    <row r="160" spans="1:9">
      <c r="A160" s="40"/>
      <c r="B160" s="40"/>
      <c r="C160" s="40"/>
      <c r="D160" s="40"/>
      <c r="E160" s="40"/>
      <c r="F160" s="40"/>
      <c r="G160" s="40"/>
      <c r="H160" s="40"/>
      <c r="I160" s="40"/>
    </row>
    <row r="161" spans="1:9">
      <c r="A161" s="40"/>
      <c r="B161" s="40"/>
      <c r="C161" s="40"/>
      <c r="D161" s="40"/>
      <c r="E161" s="40"/>
      <c r="F161" s="40"/>
      <c r="G161" s="40"/>
      <c r="H161" s="40"/>
      <c r="I161" s="40"/>
    </row>
    <row r="162" spans="1:9">
      <c r="A162" s="40"/>
      <c r="B162" s="40"/>
      <c r="C162" s="40"/>
      <c r="D162" s="40"/>
      <c r="E162" s="40"/>
      <c r="F162" s="40"/>
      <c r="G162" s="40"/>
      <c r="H162" s="40"/>
      <c r="I162" s="40"/>
    </row>
    <row r="163" spans="1:9">
      <c r="A163" s="40"/>
      <c r="B163" s="40"/>
      <c r="C163" s="40"/>
      <c r="D163" s="40"/>
      <c r="E163" s="40"/>
      <c r="F163" s="40"/>
      <c r="G163" s="40"/>
      <c r="H163" s="40"/>
      <c r="I163" s="40"/>
    </row>
    <row r="164" spans="1:9">
      <c r="A164" s="40"/>
      <c r="B164" s="40"/>
      <c r="C164" s="40"/>
      <c r="D164" s="40"/>
      <c r="E164" s="40"/>
      <c r="F164" s="40"/>
      <c r="G164" s="40"/>
      <c r="H164" s="40"/>
      <c r="I164" s="40"/>
    </row>
    <row r="165" spans="1:9">
      <c r="A165" s="40"/>
      <c r="B165" s="40"/>
      <c r="C165" s="40"/>
      <c r="D165" s="40"/>
      <c r="E165" s="40"/>
      <c r="F165" s="40"/>
      <c r="G165" s="40"/>
      <c r="H165" s="40"/>
      <c r="I165" s="40"/>
    </row>
    <row r="166" spans="1:9">
      <c r="A166" s="40"/>
      <c r="B166" s="40"/>
      <c r="C166" s="40"/>
      <c r="D166" s="40"/>
      <c r="E166" s="40"/>
      <c r="F166" s="40"/>
      <c r="G166" s="40"/>
      <c r="H166" s="40"/>
      <c r="I166" s="40"/>
    </row>
    <row r="167" spans="1:9">
      <c r="A167" s="40"/>
      <c r="B167" s="40"/>
      <c r="C167" s="40"/>
      <c r="D167" s="40"/>
      <c r="E167" s="40"/>
      <c r="F167" s="40"/>
      <c r="G167" s="40"/>
      <c r="H167" s="40"/>
      <c r="I167" s="40"/>
    </row>
    <row r="168" spans="1:9">
      <c r="A168" s="40"/>
      <c r="B168" s="40"/>
      <c r="C168" s="40"/>
      <c r="D168" s="40"/>
      <c r="E168" s="40"/>
      <c r="F168" s="40"/>
      <c r="G168" s="40"/>
      <c r="H168" s="40"/>
      <c r="I168" s="40"/>
    </row>
    <row r="169" spans="1:9">
      <c r="A169" s="40"/>
      <c r="B169" s="40"/>
      <c r="C169" s="40"/>
      <c r="D169" s="40"/>
      <c r="E169" s="40"/>
      <c r="F169" s="40"/>
      <c r="G169" s="40"/>
      <c r="H169" s="40"/>
      <c r="I169" s="40"/>
    </row>
    <row r="170" spans="1:9">
      <c r="A170" s="40"/>
      <c r="B170" s="40"/>
      <c r="C170" s="40"/>
      <c r="D170" s="40"/>
      <c r="E170" s="40"/>
      <c r="F170" s="40"/>
      <c r="G170" s="40"/>
      <c r="H170" s="40"/>
      <c r="I170" s="40"/>
    </row>
    <row r="171" spans="1:9">
      <c r="A171" s="40"/>
      <c r="B171" s="40"/>
      <c r="C171" s="40"/>
      <c r="D171" s="40"/>
      <c r="E171" s="40"/>
      <c r="F171" s="40"/>
      <c r="G171" s="40"/>
      <c r="H171" s="40"/>
      <c r="I171" s="40"/>
    </row>
    <row r="172" spans="1:9">
      <c r="A172" s="40"/>
      <c r="B172" s="40"/>
      <c r="C172" s="40"/>
      <c r="D172" s="40"/>
      <c r="E172" s="40"/>
      <c r="F172" s="40"/>
      <c r="G172" s="40"/>
      <c r="H172" s="40"/>
      <c r="I172" s="40"/>
    </row>
    <row r="173" spans="1:9">
      <c r="A173" s="40"/>
      <c r="B173" s="40"/>
      <c r="C173" s="40"/>
      <c r="D173" s="40"/>
      <c r="E173" s="40"/>
      <c r="F173" s="40"/>
      <c r="G173" s="40"/>
      <c r="H173" s="40"/>
      <c r="I173" s="40"/>
    </row>
    <row r="174" spans="1:9">
      <c r="A174" s="40"/>
      <c r="B174" s="40"/>
      <c r="C174" s="40"/>
      <c r="D174" s="40"/>
      <c r="E174" s="40"/>
      <c r="F174" s="40"/>
      <c r="G174" s="40"/>
      <c r="H174" s="40"/>
      <c r="I174" s="40"/>
    </row>
    <row r="175" spans="1:9">
      <c r="A175" s="40"/>
      <c r="B175" s="40"/>
      <c r="C175" s="40"/>
      <c r="D175" s="40"/>
      <c r="E175" s="40"/>
      <c r="F175" s="40"/>
      <c r="G175" s="40"/>
      <c r="H175" s="40"/>
      <c r="I175" s="40"/>
    </row>
    <row r="176" spans="1:9">
      <c r="A176" s="40"/>
      <c r="B176" s="40"/>
      <c r="C176" s="40"/>
      <c r="D176" s="40"/>
      <c r="E176" s="40"/>
      <c r="F176" s="40"/>
      <c r="G176" s="40"/>
      <c r="H176" s="40"/>
      <c r="I176" s="40"/>
    </row>
    <row r="177" spans="1:9">
      <c r="A177" s="40"/>
      <c r="B177" s="40"/>
      <c r="C177" s="40"/>
      <c r="D177" s="40"/>
      <c r="E177" s="40"/>
      <c r="F177" s="40"/>
      <c r="G177" s="40"/>
      <c r="H177" s="40"/>
      <c r="I177" s="40"/>
    </row>
    <row r="178" spans="1:9">
      <c r="A178" s="40"/>
      <c r="B178" s="40"/>
      <c r="C178" s="40"/>
      <c r="D178" s="40"/>
      <c r="E178" s="40"/>
      <c r="F178" s="40"/>
      <c r="G178" s="40"/>
      <c r="H178" s="40"/>
      <c r="I178" s="40"/>
    </row>
    <row r="179" spans="1:9">
      <c r="A179" s="40"/>
      <c r="B179" s="40"/>
      <c r="C179" s="40"/>
      <c r="D179" s="40"/>
      <c r="E179" s="40"/>
      <c r="F179" s="40"/>
      <c r="G179" s="40"/>
      <c r="H179" s="40"/>
      <c r="I179" s="40"/>
    </row>
    <row r="180" spans="1:9">
      <c r="A180" s="40"/>
      <c r="B180" s="40"/>
      <c r="C180" s="40"/>
      <c r="D180" s="40"/>
      <c r="E180" s="40"/>
      <c r="F180" s="40"/>
      <c r="G180" s="40"/>
      <c r="H180" s="40"/>
      <c r="I180" s="40"/>
    </row>
    <row r="181" spans="1:9">
      <c r="A181" s="40"/>
      <c r="B181" s="40"/>
      <c r="C181" s="40"/>
      <c r="D181" s="40"/>
      <c r="E181" s="40"/>
      <c r="F181" s="40"/>
      <c r="G181" s="40"/>
      <c r="H181" s="40"/>
      <c r="I181" s="40"/>
    </row>
    <row r="182" spans="1:9">
      <c r="A182" s="40"/>
      <c r="B182" s="40"/>
      <c r="C182" s="40"/>
      <c r="D182" s="40"/>
      <c r="E182" s="40"/>
      <c r="F182" s="40"/>
      <c r="G182" s="40"/>
      <c r="H182" s="40"/>
      <c r="I182" s="40"/>
    </row>
    <row r="183" spans="1:9">
      <c r="A183" s="40"/>
      <c r="B183" s="40"/>
      <c r="C183" s="40"/>
      <c r="D183" s="40"/>
      <c r="E183" s="40"/>
      <c r="F183" s="40"/>
      <c r="G183" s="40"/>
      <c r="H183" s="40"/>
      <c r="I183" s="40"/>
    </row>
    <row r="184" spans="1:9">
      <c r="A184" s="40"/>
      <c r="B184" s="40"/>
      <c r="C184" s="40"/>
      <c r="D184" s="40"/>
      <c r="E184" s="40"/>
      <c r="F184" s="40"/>
      <c r="G184" s="40"/>
      <c r="H184" s="40"/>
      <c r="I184" s="40"/>
    </row>
    <row r="185" spans="1:9">
      <c r="A185" s="40"/>
      <c r="B185" s="40"/>
      <c r="C185" s="40"/>
      <c r="D185" s="40"/>
      <c r="E185" s="40"/>
      <c r="F185" s="40"/>
      <c r="G185" s="40"/>
      <c r="H185" s="40"/>
      <c r="I185" s="40"/>
    </row>
    <row r="186" spans="1:9">
      <c r="A186" s="40"/>
      <c r="B186" s="40"/>
      <c r="C186" s="40"/>
      <c r="D186" s="40"/>
      <c r="E186" s="40"/>
      <c r="F186" s="40"/>
      <c r="G186" s="40"/>
      <c r="H186" s="40"/>
      <c r="I186" s="40"/>
    </row>
    <row r="187" spans="1:9">
      <c r="A187" s="40"/>
      <c r="B187" s="40"/>
      <c r="C187" s="40"/>
      <c r="D187" s="40"/>
      <c r="E187" s="40"/>
      <c r="F187" s="40"/>
      <c r="G187" s="40"/>
      <c r="H187" s="40"/>
      <c r="I187" s="40"/>
    </row>
    <row r="188" spans="1:9">
      <c r="A188" s="40"/>
      <c r="B188" s="40"/>
      <c r="C188" s="40"/>
      <c r="D188" s="40"/>
      <c r="E188" s="40"/>
      <c r="F188" s="40"/>
      <c r="G188" s="40"/>
      <c r="H188" s="40"/>
      <c r="I188" s="40"/>
    </row>
    <row r="189" spans="1:9">
      <c r="A189" s="40"/>
      <c r="B189" s="40"/>
      <c r="C189" s="40"/>
      <c r="D189" s="40"/>
      <c r="E189" s="40"/>
      <c r="F189" s="40"/>
      <c r="G189" s="40"/>
      <c r="H189" s="40"/>
      <c r="I189" s="40"/>
    </row>
    <row r="190" spans="1:9">
      <c r="A190" s="40"/>
      <c r="B190" s="40"/>
      <c r="C190" s="40"/>
      <c r="D190" s="40"/>
      <c r="E190" s="40"/>
      <c r="F190" s="40"/>
      <c r="G190" s="40"/>
      <c r="H190" s="40"/>
      <c r="I190" s="40"/>
    </row>
    <row r="191" spans="1:9">
      <c r="A191" s="40"/>
      <c r="B191" s="40"/>
      <c r="C191" s="40"/>
      <c r="D191" s="40"/>
      <c r="E191" s="40"/>
      <c r="F191" s="40"/>
      <c r="G191" s="40"/>
      <c r="H191" s="40"/>
      <c r="I191" s="40"/>
    </row>
    <row r="192" spans="1:9">
      <c r="A192" s="40"/>
      <c r="B192" s="40"/>
      <c r="C192" s="40"/>
      <c r="D192" s="40"/>
      <c r="E192" s="40"/>
      <c r="F192" s="40"/>
      <c r="G192" s="40"/>
      <c r="H192" s="40"/>
      <c r="I192" s="40"/>
    </row>
    <row r="193" spans="1:9">
      <c r="A193" s="40"/>
      <c r="B193" s="40"/>
      <c r="C193" s="40"/>
      <c r="D193" s="40"/>
      <c r="E193" s="40"/>
      <c r="F193" s="40"/>
      <c r="G193" s="40"/>
      <c r="H193" s="40"/>
      <c r="I193" s="40"/>
    </row>
    <row r="194" spans="1:9">
      <c r="A194" s="40"/>
      <c r="B194" s="40"/>
      <c r="C194" s="40"/>
      <c r="D194" s="40"/>
      <c r="E194" s="40"/>
      <c r="F194" s="40"/>
      <c r="G194" s="40"/>
      <c r="H194" s="40"/>
      <c r="I194" s="40"/>
    </row>
    <row r="195" spans="1:9">
      <c r="A195" s="40"/>
      <c r="B195" s="40"/>
      <c r="C195" s="40"/>
      <c r="D195" s="40"/>
      <c r="E195" s="40"/>
      <c r="F195" s="40"/>
      <c r="G195" s="40"/>
      <c r="H195" s="40"/>
      <c r="I195" s="40"/>
    </row>
    <row r="196" spans="1:9">
      <c r="A196" s="40"/>
      <c r="B196" s="40"/>
      <c r="C196" s="40"/>
      <c r="D196" s="40"/>
      <c r="E196" s="40"/>
      <c r="F196" s="40"/>
      <c r="G196" s="40"/>
      <c r="H196" s="40"/>
      <c r="I196" s="40"/>
    </row>
    <row r="197" spans="1:9">
      <c r="A197" s="40"/>
      <c r="B197" s="40"/>
      <c r="C197" s="40"/>
      <c r="D197" s="40"/>
      <c r="E197" s="40"/>
      <c r="F197" s="40"/>
      <c r="G197" s="40"/>
      <c r="H197" s="40"/>
      <c r="I197" s="40"/>
    </row>
    <row r="198" spans="1:9">
      <c r="A198" s="40"/>
      <c r="B198" s="40"/>
      <c r="C198" s="40"/>
      <c r="D198" s="40"/>
      <c r="E198" s="40"/>
      <c r="F198" s="40"/>
      <c r="G198" s="40"/>
      <c r="H198" s="40"/>
      <c r="I198" s="40"/>
    </row>
    <row r="199" spans="1:9">
      <c r="A199" s="40"/>
      <c r="B199" s="40"/>
      <c r="C199" s="40"/>
      <c r="D199" s="40"/>
      <c r="E199" s="40"/>
      <c r="F199" s="40"/>
      <c r="G199" s="40"/>
      <c r="H199" s="40"/>
      <c r="I199" s="40"/>
    </row>
    <row r="200" spans="1:9">
      <c r="A200" s="40"/>
      <c r="B200" s="40"/>
      <c r="C200" s="40"/>
      <c r="D200" s="40"/>
      <c r="E200" s="40"/>
      <c r="F200" s="40"/>
      <c r="G200" s="40"/>
      <c r="H200" s="40"/>
      <c r="I200" s="40"/>
    </row>
    <row r="201" spans="1:9">
      <c r="A201" s="40"/>
      <c r="B201" s="40"/>
      <c r="C201" s="40"/>
      <c r="D201" s="40"/>
      <c r="E201" s="40"/>
      <c r="F201" s="40"/>
      <c r="G201" s="40"/>
      <c r="H201" s="40"/>
      <c r="I201" s="40"/>
    </row>
    <row r="202" spans="1:9">
      <c r="A202" s="40"/>
      <c r="B202" s="40"/>
      <c r="C202" s="40"/>
      <c r="D202" s="40"/>
      <c r="E202" s="40"/>
      <c r="F202" s="40"/>
      <c r="G202" s="40"/>
      <c r="H202" s="40"/>
      <c r="I202" s="40"/>
    </row>
    <row r="203" spans="1:9">
      <c r="A203" s="40"/>
      <c r="B203" s="40"/>
      <c r="C203" s="40"/>
      <c r="D203" s="40"/>
      <c r="E203" s="40"/>
      <c r="F203" s="40"/>
      <c r="G203" s="40"/>
      <c r="H203" s="40"/>
      <c r="I203" s="40"/>
    </row>
    <row r="204" spans="1:9">
      <c r="A204" s="40"/>
      <c r="B204" s="40"/>
      <c r="C204" s="40"/>
      <c r="D204" s="40"/>
      <c r="E204" s="40"/>
      <c r="F204" s="40"/>
      <c r="G204" s="40"/>
      <c r="H204" s="40"/>
      <c r="I204" s="40"/>
    </row>
    <row r="205" spans="1:9">
      <c r="A205" s="40"/>
      <c r="B205" s="40"/>
      <c r="C205" s="40"/>
      <c r="D205" s="40"/>
      <c r="E205" s="40"/>
      <c r="F205" s="40"/>
      <c r="G205" s="40"/>
      <c r="H205" s="40"/>
      <c r="I205" s="40"/>
    </row>
    <row r="206" spans="1:9">
      <c r="A206" s="40"/>
      <c r="B206" s="40"/>
      <c r="C206" s="40"/>
      <c r="D206" s="40"/>
      <c r="E206" s="40"/>
      <c r="F206" s="40"/>
      <c r="G206" s="40"/>
      <c r="H206" s="40"/>
      <c r="I206" s="40"/>
    </row>
    <row r="207" spans="1:9">
      <c r="A207" s="40"/>
      <c r="B207" s="40"/>
      <c r="C207" s="40"/>
      <c r="D207" s="40"/>
      <c r="E207" s="40"/>
      <c r="F207" s="40"/>
      <c r="G207" s="40"/>
      <c r="H207" s="40"/>
      <c r="I207" s="40"/>
    </row>
    <row r="208" spans="1:9">
      <c r="A208" s="40"/>
      <c r="B208" s="40"/>
      <c r="C208" s="40"/>
      <c r="D208" s="40"/>
      <c r="E208" s="40"/>
      <c r="F208" s="40"/>
      <c r="G208" s="40"/>
      <c r="H208" s="40"/>
      <c r="I208" s="40"/>
    </row>
    <row r="209" spans="1:9">
      <c r="A209" s="40"/>
      <c r="B209" s="40"/>
      <c r="C209" s="40"/>
      <c r="D209" s="40"/>
      <c r="E209" s="40"/>
      <c r="F209" s="40"/>
      <c r="G209" s="40"/>
      <c r="H209" s="40"/>
      <c r="I209" s="40"/>
    </row>
    <row r="210" spans="1:9">
      <c r="A210" s="40"/>
      <c r="B210" s="40"/>
      <c r="C210" s="40"/>
      <c r="D210" s="40"/>
      <c r="E210" s="40"/>
      <c r="F210" s="40"/>
      <c r="G210" s="40"/>
      <c r="H210" s="40"/>
      <c r="I210" s="40"/>
    </row>
    <row r="211" spans="1:9">
      <c r="A211" s="40"/>
      <c r="B211" s="40"/>
      <c r="C211" s="40"/>
      <c r="D211" s="40"/>
      <c r="E211" s="40"/>
      <c r="F211" s="40"/>
      <c r="G211" s="40"/>
      <c r="H211" s="40"/>
      <c r="I211" s="40"/>
    </row>
    <row r="212" spans="1:9">
      <c r="A212" s="40"/>
      <c r="B212" s="40"/>
      <c r="C212" s="40"/>
      <c r="D212" s="40"/>
      <c r="E212" s="40"/>
      <c r="F212" s="40"/>
      <c r="G212" s="40"/>
      <c r="H212" s="40"/>
      <c r="I212" s="40"/>
    </row>
    <row r="213" spans="1:9">
      <c r="A213" s="40"/>
      <c r="B213" s="40"/>
      <c r="C213" s="40"/>
      <c r="D213" s="40"/>
      <c r="E213" s="40"/>
      <c r="F213" s="40"/>
      <c r="G213" s="40"/>
      <c r="H213" s="40"/>
      <c r="I213" s="40"/>
    </row>
    <row r="214" spans="1:9">
      <c r="A214" s="40"/>
      <c r="B214" s="40"/>
      <c r="C214" s="40"/>
      <c r="D214" s="40"/>
      <c r="E214" s="40"/>
      <c r="F214" s="40"/>
      <c r="G214" s="40"/>
      <c r="H214" s="40"/>
      <c r="I214" s="40"/>
    </row>
    <row r="215" spans="1:9">
      <c r="A215" s="40"/>
      <c r="B215" s="40"/>
      <c r="C215" s="40"/>
      <c r="D215" s="40"/>
      <c r="E215" s="40"/>
      <c r="F215" s="40"/>
      <c r="G215" s="40"/>
      <c r="H215" s="40"/>
      <c r="I215" s="40"/>
    </row>
    <row r="216" spans="1:9">
      <c r="A216" s="40"/>
      <c r="B216" s="40"/>
      <c r="C216" s="40"/>
      <c r="D216" s="40"/>
      <c r="E216" s="40"/>
      <c r="F216" s="40"/>
      <c r="G216" s="40"/>
      <c r="H216" s="40"/>
      <c r="I216" s="40"/>
    </row>
    <row r="217" spans="1:9">
      <c r="A217" s="40"/>
      <c r="B217" s="40"/>
      <c r="C217" s="40"/>
      <c r="D217" s="40"/>
      <c r="E217" s="40"/>
      <c r="F217" s="40"/>
      <c r="G217" s="40"/>
      <c r="H217" s="40"/>
      <c r="I217" s="40"/>
    </row>
    <row r="218" spans="1:9">
      <c r="A218" s="40"/>
      <c r="B218" s="40"/>
      <c r="C218" s="40"/>
      <c r="D218" s="40"/>
      <c r="E218" s="40"/>
      <c r="F218" s="40"/>
      <c r="G218" s="40"/>
      <c r="H218" s="40"/>
      <c r="I218" s="40"/>
    </row>
    <row r="219" spans="1:9">
      <c r="A219" s="40"/>
      <c r="B219" s="40"/>
      <c r="C219" s="40"/>
      <c r="D219" s="40"/>
      <c r="E219" s="40"/>
      <c r="F219" s="40"/>
      <c r="G219" s="40"/>
      <c r="H219" s="40"/>
      <c r="I219" s="40"/>
    </row>
    <row r="220" spans="1:9">
      <c r="A220" s="40"/>
      <c r="B220" s="40"/>
      <c r="C220" s="40"/>
      <c r="D220" s="40"/>
      <c r="E220" s="40"/>
      <c r="F220" s="40"/>
      <c r="G220" s="40"/>
      <c r="H220" s="40"/>
      <c r="I220" s="40"/>
    </row>
    <row r="221" spans="1:9">
      <c r="A221" s="40"/>
      <c r="B221" s="40"/>
      <c r="C221" s="40"/>
      <c r="D221" s="40"/>
      <c r="E221" s="40"/>
      <c r="F221" s="40"/>
      <c r="G221" s="40"/>
      <c r="H221" s="40"/>
      <c r="I221" s="40"/>
    </row>
    <row r="222" spans="1:9">
      <c r="A222" s="40"/>
      <c r="B222" s="40"/>
      <c r="C222" s="40"/>
      <c r="D222" s="40"/>
      <c r="E222" s="40"/>
      <c r="F222" s="40"/>
      <c r="G222" s="40"/>
      <c r="H222" s="40"/>
      <c r="I222" s="40"/>
    </row>
    <row r="223" spans="1:9">
      <c r="A223" s="40"/>
      <c r="B223" s="40"/>
      <c r="C223" s="40"/>
      <c r="D223" s="40"/>
      <c r="E223" s="40"/>
      <c r="F223" s="40"/>
      <c r="G223" s="40"/>
      <c r="H223" s="40"/>
      <c r="I223" s="40"/>
    </row>
    <row r="224" spans="1:9">
      <c r="A224" s="40"/>
      <c r="B224" s="40"/>
      <c r="C224" s="40"/>
      <c r="D224" s="40"/>
      <c r="E224" s="40"/>
      <c r="F224" s="40"/>
      <c r="G224" s="40"/>
      <c r="H224" s="40"/>
      <c r="I224" s="40"/>
    </row>
    <row r="225" spans="1:9">
      <c r="A225" s="40"/>
      <c r="B225" s="40"/>
      <c r="C225" s="40"/>
      <c r="D225" s="40"/>
      <c r="E225" s="40"/>
      <c r="F225" s="40"/>
      <c r="G225" s="40"/>
      <c r="H225" s="40"/>
      <c r="I225" s="40"/>
    </row>
    <row r="226" spans="1:9">
      <c r="A226" s="40"/>
      <c r="B226" s="40"/>
      <c r="C226" s="40"/>
      <c r="D226" s="40"/>
      <c r="E226" s="40"/>
      <c r="F226" s="40"/>
      <c r="G226" s="40"/>
      <c r="H226" s="40"/>
      <c r="I226" s="40"/>
    </row>
    <row r="227" spans="1:9">
      <c r="A227" s="40"/>
      <c r="B227" s="40"/>
      <c r="C227" s="40"/>
      <c r="D227" s="40"/>
      <c r="E227" s="40"/>
      <c r="F227" s="40"/>
      <c r="G227" s="40"/>
      <c r="H227" s="40"/>
      <c r="I227" s="40"/>
    </row>
    <row r="228" spans="1:9">
      <c r="A228" s="40"/>
      <c r="B228" s="40"/>
      <c r="C228" s="40"/>
      <c r="D228" s="40"/>
      <c r="E228" s="40"/>
      <c r="F228" s="40"/>
      <c r="G228" s="40"/>
      <c r="H228" s="40"/>
      <c r="I228" s="40"/>
    </row>
    <row r="229" spans="1:9">
      <c r="A229" s="40"/>
      <c r="B229" s="40"/>
      <c r="C229" s="40"/>
      <c r="D229" s="40"/>
      <c r="E229" s="40"/>
      <c r="F229" s="40"/>
      <c r="G229" s="40"/>
      <c r="H229" s="40"/>
      <c r="I229" s="40"/>
    </row>
    <row r="230" spans="1:9">
      <c r="A230" s="40"/>
      <c r="B230" s="40"/>
      <c r="C230" s="40"/>
      <c r="D230" s="40"/>
      <c r="E230" s="40"/>
      <c r="F230" s="40"/>
      <c r="G230" s="40"/>
      <c r="H230" s="40"/>
      <c r="I230" s="40"/>
    </row>
    <row r="231" spans="1:9">
      <c r="A231" s="40"/>
      <c r="B231" s="40"/>
      <c r="C231" s="40"/>
      <c r="D231" s="40"/>
      <c r="E231" s="40"/>
      <c r="F231" s="40"/>
      <c r="G231" s="40"/>
      <c r="H231" s="40"/>
      <c r="I231" s="40"/>
    </row>
    <row r="232" spans="1:9">
      <c r="A232" s="40"/>
      <c r="B232" s="40"/>
      <c r="C232" s="40"/>
      <c r="D232" s="40"/>
      <c r="E232" s="40"/>
      <c r="F232" s="40"/>
      <c r="G232" s="40"/>
      <c r="H232" s="40"/>
      <c r="I232" s="40"/>
    </row>
    <row r="233" spans="1:9">
      <c r="A233" s="40"/>
      <c r="B233" s="40"/>
      <c r="C233" s="40"/>
      <c r="D233" s="40"/>
      <c r="E233" s="40"/>
      <c r="F233" s="40"/>
      <c r="G233" s="40"/>
      <c r="H233" s="40"/>
      <c r="I233" s="40"/>
    </row>
    <row r="234" spans="1:9">
      <c r="A234" s="40"/>
      <c r="B234" s="40"/>
      <c r="C234" s="40"/>
      <c r="D234" s="40"/>
      <c r="E234" s="40"/>
      <c r="F234" s="40"/>
      <c r="G234" s="40"/>
      <c r="H234" s="40"/>
      <c r="I234" s="40"/>
    </row>
    <row r="235" spans="1:9">
      <c r="A235" s="40"/>
      <c r="B235" s="40"/>
      <c r="C235" s="40"/>
      <c r="D235" s="40"/>
      <c r="E235" s="40"/>
      <c r="F235" s="40"/>
      <c r="G235" s="40"/>
      <c r="H235" s="40"/>
      <c r="I235" s="40"/>
    </row>
    <row r="236" spans="1:9">
      <c r="A236" s="40"/>
      <c r="B236" s="40"/>
      <c r="C236" s="40"/>
      <c r="D236" s="40"/>
      <c r="E236" s="40"/>
      <c r="F236" s="40"/>
      <c r="G236" s="40"/>
      <c r="H236" s="40"/>
      <c r="I236" s="40"/>
    </row>
    <row r="237" spans="1:9">
      <c r="A237" s="40"/>
      <c r="B237" s="40"/>
      <c r="C237" s="40"/>
      <c r="D237" s="40"/>
      <c r="E237" s="40"/>
      <c r="F237" s="40"/>
      <c r="G237" s="40"/>
      <c r="H237" s="40"/>
      <c r="I237" s="40"/>
    </row>
    <row r="238" spans="1:9">
      <c r="A238" s="40"/>
      <c r="B238" s="40"/>
      <c r="C238" s="40"/>
      <c r="D238" s="40"/>
      <c r="E238" s="40"/>
      <c r="F238" s="40"/>
      <c r="G238" s="40"/>
      <c r="H238" s="40"/>
      <c r="I238" s="40"/>
    </row>
    <row r="239" spans="1:9">
      <c r="A239" s="40"/>
      <c r="B239" s="40"/>
      <c r="C239" s="40"/>
      <c r="D239" s="40"/>
      <c r="E239" s="40"/>
      <c r="F239" s="40"/>
      <c r="G239" s="40"/>
      <c r="H239" s="40"/>
      <c r="I239" s="40"/>
    </row>
    <row r="240" spans="1:9">
      <c r="A240" s="40"/>
      <c r="B240" s="40"/>
      <c r="C240" s="40"/>
      <c r="D240" s="40"/>
      <c r="E240" s="40"/>
      <c r="F240" s="40"/>
      <c r="G240" s="40"/>
      <c r="H240" s="40"/>
      <c r="I240" s="40"/>
    </row>
    <row r="241" spans="1:9">
      <c r="A241" s="40"/>
      <c r="B241" s="40"/>
      <c r="C241" s="40"/>
      <c r="D241" s="40"/>
      <c r="E241" s="40"/>
      <c r="F241" s="40"/>
      <c r="G241" s="40"/>
      <c r="H241" s="40"/>
      <c r="I241" s="40"/>
    </row>
    <row r="242" spans="1:9">
      <c r="A242" s="40"/>
      <c r="B242" s="40"/>
      <c r="C242" s="40"/>
      <c r="D242" s="40"/>
      <c r="E242" s="40"/>
      <c r="F242" s="40"/>
      <c r="G242" s="40"/>
      <c r="H242" s="40"/>
      <c r="I242" s="40"/>
    </row>
    <row r="243" spans="1:9">
      <c r="A243" s="40"/>
      <c r="B243" s="40"/>
      <c r="C243" s="40"/>
      <c r="D243" s="40"/>
      <c r="E243" s="40"/>
      <c r="F243" s="40"/>
      <c r="G243" s="40"/>
      <c r="H243" s="40"/>
      <c r="I243" s="40"/>
    </row>
    <row r="244" spans="1:9">
      <c r="A244" s="40"/>
      <c r="B244" s="40"/>
      <c r="C244" s="40"/>
      <c r="D244" s="40"/>
      <c r="E244" s="40"/>
      <c r="F244" s="40"/>
      <c r="G244" s="40"/>
      <c r="H244" s="40"/>
      <c r="I244" s="40"/>
    </row>
    <row r="245" spans="1:9">
      <c r="A245" s="40"/>
      <c r="B245" s="40"/>
      <c r="C245" s="40"/>
      <c r="D245" s="40"/>
      <c r="E245" s="40"/>
      <c r="F245" s="40"/>
      <c r="G245" s="40"/>
      <c r="H245" s="40"/>
      <c r="I245" s="40"/>
    </row>
    <row r="246" spans="1:9">
      <c r="A246" s="40"/>
      <c r="B246" s="40"/>
      <c r="C246" s="40"/>
      <c r="D246" s="40"/>
      <c r="E246" s="40"/>
      <c r="F246" s="40"/>
      <c r="G246" s="40"/>
      <c r="H246" s="40"/>
      <c r="I246" s="40"/>
    </row>
    <row r="247" spans="1:9">
      <c r="A247" s="40"/>
      <c r="B247" s="40"/>
      <c r="C247" s="40"/>
      <c r="D247" s="40"/>
      <c r="E247" s="40"/>
      <c r="F247" s="40"/>
      <c r="G247" s="40"/>
      <c r="H247" s="40"/>
      <c r="I247" s="40"/>
    </row>
    <row r="248" spans="1:9">
      <c r="A248" s="40"/>
      <c r="B248" s="40"/>
      <c r="C248" s="40"/>
      <c r="D248" s="40"/>
      <c r="E248" s="40"/>
      <c r="F248" s="40"/>
      <c r="G248" s="40"/>
      <c r="H248" s="40"/>
      <c r="I248" s="40"/>
    </row>
    <row r="249" spans="1:9">
      <c r="A249" s="40"/>
      <c r="B249" s="40"/>
      <c r="C249" s="40"/>
      <c r="D249" s="40"/>
      <c r="E249" s="40"/>
      <c r="F249" s="40"/>
      <c r="G249" s="40"/>
      <c r="H249" s="40"/>
      <c r="I249" s="40"/>
    </row>
    <row r="250" spans="1:9">
      <c r="A250" s="40"/>
      <c r="B250" s="40"/>
      <c r="C250" s="40"/>
      <c r="D250" s="40"/>
      <c r="E250" s="40"/>
      <c r="F250" s="40"/>
      <c r="G250" s="40"/>
      <c r="H250" s="40"/>
      <c r="I250" s="40"/>
    </row>
    <row r="251" spans="1:9">
      <c r="A251" s="40"/>
      <c r="B251" s="40"/>
      <c r="C251" s="40"/>
      <c r="D251" s="40"/>
      <c r="E251" s="40"/>
      <c r="F251" s="40"/>
      <c r="G251" s="40"/>
      <c r="H251" s="40"/>
      <c r="I251" s="40"/>
    </row>
    <row r="252" spans="1:9">
      <c r="A252" s="40"/>
      <c r="B252" s="40"/>
      <c r="C252" s="40"/>
      <c r="D252" s="40"/>
      <c r="E252" s="40"/>
      <c r="F252" s="40"/>
      <c r="G252" s="40"/>
      <c r="H252" s="40"/>
      <c r="I252" s="40"/>
    </row>
    <row r="253" spans="1:9">
      <c r="A253" s="40"/>
      <c r="B253" s="40"/>
      <c r="C253" s="40"/>
      <c r="D253" s="40"/>
      <c r="E253" s="40"/>
      <c r="F253" s="40"/>
      <c r="G253" s="40"/>
      <c r="H253" s="40"/>
      <c r="I253" s="40"/>
    </row>
    <row r="254" spans="1:9">
      <c r="A254" s="40"/>
      <c r="B254" s="40"/>
      <c r="C254" s="40"/>
      <c r="D254" s="40"/>
      <c r="E254" s="40"/>
      <c r="F254" s="40"/>
      <c r="G254" s="40"/>
      <c r="H254" s="40"/>
      <c r="I254" s="40"/>
    </row>
    <row r="255" spans="1:9">
      <c r="A255" s="40"/>
      <c r="B255" s="40"/>
      <c r="C255" s="40"/>
      <c r="D255" s="40"/>
      <c r="E255" s="40"/>
      <c r="F255" s="40"/>
      <c r="G255" s="40"/>
      <c r="H255" s="40"/>
      <c r="I255" s="40"/>
    </row>
    <row r="256" spans="1:9">
      <c r="A256" s="40"/>
      <c r="B256" s="40"/>
      <c r="C256" s="40"/>
      <c r="D256" s="40"/>
      <c r="E256" s="40"/>
      <c r="F256" s="40"/>
      <c r="G256" s="40"/>
      <c r="H256" s="40"/>
      <c r="I256" s="40"/>
    </row>
    <row r="257" spans="1:9">
      <c r="A257" s="40"/>
      <c r="B257" s="40"/>
      <c r="C257" s="40"/>
      <c r="D257" s="40"/>
      <c r="E257" s="40"/>
      <c r="F257" s="40"/>
      <c r="G257" s="40"/>
      <c r="H257" s="40"/>
      <c r="I257" s="40"/>
    </row>
    <row r="258" spans="1:9">
      <c r="A258" s="40"/>
      <c r="B258" s="40"/>
      <c r="C258" s="40"/>
      <c r="D258" s="40"/>
      <c r="E258" s="40"/>
      <c r="F258" s="40"/>
      <c r="G258" s="40"/>
      <c r="H258" s="40"/>
      <c r="I258" s="40"/>
    </row>
    <row r="259" spans="1:9">
      <c r="A259" s="40"/>
      <c r="B259" s="40"/>
      <c r="C259" s="40"/>
      <c r="D259" s="40"/>
      <c r="E259" s="40"/>
      <c r="F259" s="40"/>
      <c r="G259" s="40"/>
      <c r="H259" s="40"/>
      <c r="I259" s="40"/>
    </row>
    <row r="260" spans="1:9">
      <c r="A260" s="40"/>
      <c r="B260" s="40"/>
      <c r="C260" s="40"/>
      <c r="D260" s="40"/>
      <c r="E260" s="40"/>
      <c r="F260" s="40"/>
      <c r="G260" s="40"/>
      <c r="H260" s="40"/>
      <c r="I260" s="40"/>
    </row>
    <row r="261" spans="1:9">
      <c r="A261" s="40"/>
      <c r="B261" s="40"/>
      <c r="C261" s="40"/>
      <c r="D261" s="40"/>
      <c r="E261" s="40"/>
      <c r="F261" s="40"/>
      <c r="G261" s="40"/>
      <c r="H261" s="40"/>
      <c r="I261" s="40"/>
    </row>
    <row r="262" spans="1:9">
      <c r="A262" s="40"/>
      <c r="B262" s="40"/>
      <c r="C262" s="40"/>
      <c r="D262" s="40"/>
      <c r="E262" s="40"/>
      <c r="F262" s="40"/>
      <c r="G262" s="40"/>
      <c r="H262" s="40"/>
      <c r="I262" s="40"/>
    </row>
    <row r="263" spans="1:9">
      <c r="A263" s="40"/>
      <c r="B263" s="40"/>
      <c r="C263" s="40"/>
      <c r="D263" s="40"/>
      <c r="E263" s="40"/>
      <c r="F263" s="40"/>
      <c r="G263" s="40"/>
      <c r="H263" s="40"/>
      <c r="I263" s="40"/>
    </row>
    <row r="264" spans="1:9">
      <c r="A264" s="40"/>
      <c r="B264" s="40"/>
      <c r="C264" s="40"/>
      <c r="D264" s="40"/>
      <c r="E264" s="40"/>
      <c r="F264" s="40"/>
      <c r="G264" s="40"/>
      <c r="H264" s="40"/>
      <c r="I264" s="40"/>
    </row>
    <row r="265" spans="1:9">
      <c r="A265" s="40"/>
      <c r="B265" s="40"/>
      <c r="C265" s="40"/>
      <c r="D265" s="40"/>
      <c r="E265" s="40"/>
      <c r="F265" s="40"/>
      <c r="G265" s="40"/>
      <c r="H265" s="40"/>
      <c r="I265" s="40"/>
    </row>
    <row r="266" spans="1:9">
      <c r="A266" s="40"/>
      <c r="B266" s="40"/>
      <c r="C266" s="40"/>
      <c r="D266" s="40"/>
      <c r="E266" s="40"/>
      <c r="F266" s="40"/>
      <c r="G266" s="40"/>
      <c r="H266" s="40"/>
      <c r="I266" s="40"/>
    </row>
    <row r="267" spans="1:9">
      <c r="A267" s="40"/>
      <c r="B267" s="40"/>
      <c r="C267" s="40"/>
      <c r="D267" s="40"/>
      <c r="E267" s="40"/>
      <c r="F267" s="40"/>
      <c r="G267" s="40"/>
      <c r="H267" s="40"/>
      <c r="I267" s="40"/>
    </row>
    <row r="268" spans="1:9">
      <c r="A268" s="40"/>
      <c r="B268" s="40"/>
      <c r="C268" s="40"/>
      <c r="D268" s="40"/>
      <c r="E268" s="40"/>
      <c r="F268" s="40"/>
      <c r="G268" s="40"/>
      <c r="H268" s="40"/>
      <c r="I268" s="40"/>
    </row>
    <row r="269" spans="1:9">
      <c r="A269" s="40"/>
      <c r="B269" s="40"/>
      <c r="C269" s="40"/>
      <c r="D269" s="40"/>
      <c r="E269" s="40"/>
      <c r="F269" s="40"/>
      <c r="G269" s="40"/>
      <c r="H269" s="40"/>
      <c r="I269" s="40"/>
    </row>
    <row r="270" spans="1:9">
      <c r="A270" s="40"/>
      <c r="B270" s="40"/>
      <c r="C270" s="40"/>
      <c r="D270" s="40"/>
      <c r="E270" s="40"/>
      <c r="F270" s="40"/>
      <c r="G270" s="40"/>
      <c r="H270" s="40"/>
      <c r="I270" s="40"/>
    </row>
    <row r="271" spans="1:9">
      <c r="A271" s="40"/>
      <c r="B271" s="40"/>
      <c r="C271" s="40"/>
      <c r="D271" s="40"/>
      <c r="E271" s="40"/>
      <c r="F271" s="40"/>
      <c r="G271" s="40"/>
      <c r="H271" s="40"/>
      <c r="I271" s="40"/>
    </row>
    <row r="272" spans="1:9">
      <c r="A272" s="40"/>
      <c r="B272" s="40"/>
      <c r="C272" s="40"/>
      <c r="D272" s="40"/>
      <c r="E272" s="40"/>
      <c r="F272" s="40"/>
      <c r="G272" s="40"/>
      <c r="H272" s="40"/>
      <c r="I272" s="40"/>
    </row>
    <row r="273" spans="1:9">
      <c r="A273" s="40"/>
      <c r="B273" s="40"/>
      <c r="C273" s="40"/>
      <c r="D273" s="40"/>
      <c r="E273" s="40"/>
      <c r="F273" s="40"/>
      <c r="G273" s="40"/>
      <c r="H273" s="40"/>
      <c r="I273" s="40"/>
    </row>
    <row r="274" spans="1:9">
      <c r="A274" s="40"/>
      <c r="B274" s="40"/>
      <c r="C274" s="40"/>
      <c r="D274" s="40"/>
      <c r="E274" s="40"/>
      <c r="F274" s="40"/>
      <c r="G274" s="40"/>
      <c r="H274" s="40"/>
      <c r="I274" s="40"/>
    </row>
    <row r="275" spans="1:9">
      <c r="A275" s="40"/>
      <c r="B275" s="40"/>
      <c r="C275" s="40"/>
      <c r="D275" s="40"/>
      <c r="E275" s="40"/>
      <c r="F275" s="40"/>
      <c r="G275" s="40"/>
      <c r="H275" s="40"/>
      <c r="I275" s="40"/>
    </row>
    <row r="276" spans="1:9">
      <c r="A276" s="40"/>
      <c r="B276" s="40"/>
      <c r="C276" s="40"/>
      <c r="D276" s="40"/>
      <c r="E276" s="40"/>
      <c r="F276" s="40"/>
      <c r="G276" s="40"/>
      <c r="H276" s="40"/>
      <c r="I276" s="40"/>
    </row>
    <row r="277" spans="1:9">
      <c r="A277" s="40"/>
      <c r="B277" s="40"/>
      <c r="C277" s="40"/>
      <c r="D277" s="40"/>
      <c r="E277" s="40"/>
      <c r="F277" s="40"/>
      <c r="G277" s="40"/>
      <c r="H277" s="40"/>
      <c r="I277" s="40"/>
    </row>
    <row r="278" spans="1:9">
      <c r="A278" s="40"/>
      <c r="B278" s="40"/>
      <c r="C278" s="40"/>
      <c r="D278" s="40"/>
      <c r="E278" s="40"/>
      <c r="F278" s="40"/>
      <c r="G278" s="40"/>
      <c r="H278" s="40"/>
      <c r="I278" s="40"/>
    </row>
    <row r="279" spans="1:9">
      <c r="A279" s="40"/>
      <c r="B279" s="40"/>
      <c r="C279" s="40"/>
      <c r="D279" s="40"/>
      <c r="E279" s="40"/>
      <c r="F279" s="40"/>
      <c r="G279" s="40"/>
      <c r="H279" s="40"/>
      <c r="I279" s="40"/>
    </row>
    <row r="280" spans="1:9">
      <c r="A280" s="40"/>
      <c r="B280" s="40"/>
      <c r="C280" s="40"/>
      <c r="D280" s="40"/>
      <c r="E280" s="40"/>
      <c r="F280" s="40"/>
      <c r="G280" s="40"/>
      <c r="H280" s="40"/>
      <c r="I280" s="40"/>
    </row>
    <row r="281" spans="1:9">
      <c r="A281" s="40"/>
      <c r="B281" s="40"/>
      <c r="C281" s="40"/>
      <c r="D281" s="40"/>
      <c r="E281" s="40"/>
      <c r="F281" s="40"/>
      <c r="G281" s="40"/>
      <c r="H281" s="40"/>
      <c r="I281" s="40"/>
    </row>
    <row r="282" spans="1:9">
      <c r="A282" s="40"/>
      <c r="B282" s="40"/>
      <c r="C282" s="40"/>
      <c r="D282" s="40"/>
      <c r="E282" s="40"/>
      <c r="F282" s="40"/>
      <c r="G282" s="40"/>
      <c r="H282" s="40"/>
      <c r="I282" s="40"/>
    </row>
    <row r="283" spans="1:9">
      <c r="A283" s="40"/>
      <c r="B283" s="40"/>
      <c r="C283" s="40"/>
      <c r="D283" s="40"/>
      <c r="E283" s="40"/>
      <c r="F283" s="40"/>
      <c r="G283" s="40"/>
      <c r="H283" s="40"/>
      <c r="I283" s="40"/>
    </row>
    <row r="284" spans="1:9">
      <c r="A284" s="40"/>
      <c r="B284" s="40"/>
      <c r="C284" s="40"/>
      <c r="D284" s="40"/>
      <c r="E284" s="40"/>
      <c r="F284" s="40"/>
      <c r="G284" s="40"/>
      <c r="H284" s="40"/>
      <c r="I284" s="40"/>
    </row>
    <row r="285" spans="1:9">
      <c r="A285" s="40"/>
      <c r="B285" s="40"/>
      <c r="C285" s="40"/>
      <c r="D285" s="40"/>
      <c r="E285" s="40"/>
      <c r="F285" s="40"/>
      <c r="G285" s="40"/>
      <c r="H285" s="40"/>
      <c r="I285" s="40"/>
    </row>
    <row r="286" spans="1:9">
      <c r="A286" s="40"/>
      <c r="B286" s="40"/>
      <c r="C286" s="40"/>
      <c r="D286" s="40"/>
      <c r="E286" s="40"/>
      <c r="F286" s="40"/>
      <c r="G286" s="40"/>
      <c r="H286" s="40"/>
      <c r="I286" s="40"/>
    </row>
    <row r="287" spans="1:9">
      <c r="A287" s="40"/>
      <c r="B287" s="40"/>
      <c r="C287" s="40"/>
      <c r="D287" s="40"/>
      <c r="E287" s="40"/>
      <c r="F287" s="40"/>
      <c r="G287" s="40"/>
      <c r="H287" s="40"/>
      <c r="I287" s="40"/>
    </row>
    <row r="288" spans="1:9">
      <c r="A288" s="40"/>
      <c r="B288" s="40"/>
      <c r="C288" s="40"/>
      <c r="D288" s="40"/>
      <c r="E288" s="40"/>
      <c r="F288" s="40"/>
      <c r="G288" s="40"/>
      <c r="H288" s="40"/>
      <c r="I288" s="40"/>
    </row>
    <row r="289" spans="1:9">
      <c r="A289" s="40"/>
      <c r="B289" s="40"/>
      <c r="C289" s="40"/>
      <c r="D289" s="40"/>
      <c r="E289" s="40"/>
      <c r="F289" s="40"/>
      <c r="G289" s="40"/>
      <c r="H289" s="40"/>
      <c r="I289" s="40"/>
    </row>
    <row r="290" spans="1:9">
      <c r="A290" s="40"/>
      <c r="B290" s="40"/>
      <c r="C290" s="40"/>
      <c r="D290" s="40"/>
      <c r="E290" s="40"/>
      <c r="F290" s="40"/>
      <c r="G290" s="40"/>
      <c r="H290" s="40"/>
      <c r="I290" s="40"/>
    </row>
    <row r="291" spans="1:9">
      <c r="A291" s="40"/>
      <c r="B291" s="40"/>
      <c r="C291" s="40"/>
      <c r="D291" s="40"/>
      <c r="E291" s="40"/>
      <c r="F291" s="40"/>
      <c r="G291" s="40"/>
      <c r="H291" s="40"/>
      <c r="I291" s="40"/>
    </row>
    <row r="292" spans="1:9">
      <c r="A292" s="40"/>
      <c r="B292" s="40"/>
      <c r="C292" s="40"/>
      <c r="D292" s="40"/>
      <c r="E292" s="40"/>
      <c r="F292" s="40"/>
      <c r="G292" s="40"/>
      <c r="H292" s="40"/>
      <c r="I292" s="40"/>
    </row>
    <row r="293" spans="1:9">
      <c r="A293" s="40"/>
      <c r="B293" s="40"/>
      <c r="C293" s="40"/>
      <c r="D293" s="40"/>
      <c r="E293" s="40"/>
      <c r="F293" s="40"/>
      <c r="G293" s="40"/>
      <c r="H293" s="40"/>
      <c r="I293" s="40"/>
    </row>
    <row r="294" spans="1:9">
      <c r="A294" s="40"/>
      <c r="B294" s="40"/>
      <c r="C294" s="40"/>
      <c r="D294" s="40"/>
      <c r="E294" s="40"/>
      <c r="F294" s="40"/>
      <c r="G294" s="40"/>
      <c r="H294" s="40"/>
      <c r="I294" s="40"/>
    </row>
    <row r="295" spans="1:9">
      <c r="A295" s="40"/>
      <c r="B295" s="40"/>
      <c r="C295" s="40"/>
      <c r="D295" s="40"/>
      <c r="E295" s="40"/>
      <c r="F295" s="40"/>
      <c r="G295" s="40"/>
      <c r="H295" s="40"/>
      <c r="I295" s="40"/>
    </row>
    <row r="296" spans="1:9">
      <c r="A296" s="40"/>
      <c r="B296" s="40"/>
      <c r="C296" s="40"/>
      <c r="D296" s="40"/>
      <c r="E296" s="40"/>
      <c r="F296" s="40"/>
      <c r="G296" s="40"/>
      <c r="H296" s="40"/>
      <c r="I296" s="40"/>
    </row>
    <row r="297" spans="1:9">
      <c r="A297" s="40"/>
      <c r="B297" s="40"/>
      <c r="C297" s="40"/>
      <c r="D297" s="40"/>
      <c r="E297" s="40"/>
      <c r="F297" s="40"/>
      <c r="G297" s="40"/>
      <c r="H297" s="40"/>
      <c r="I297" s="40"/>
    </row>
    <row r="298" spans="1:9">
      <c r="A298" s="40"/>
      <c r="B298" s="40"/>
      <c r="C298" s="40"/>
      <c r="D298" s="40"/>
      <c r="E298" s="40"/>
      <c r="F298" s="40"/>
      <c r="G298" s="40"/>
      <c r="H298" s="40"/>
      <c r="I298" s="40"/>
    </row>
    <row r="299" spans="1:9">
      <c r="A299" s="40"/>
      <c r="B299" s="40"/>
      <c r="C299" s="40"/>
      <c r="D299" s="40"/>
      <c r="E299" s="40"/>
      <c r="F299" s="40"/>
      <c r="G299" s="40"/>
      <c r="H299" s="40"/>
      <c r="I299" s="40"/>
    </row>
    <row r="300" spans="1:9">
      <c r="A300" s="40"/>
      <c r="B300" s="40"/>
      <c r="C300" s="40"/>
      <c r="D300" s="40"/>
      <c r="E300" s="40"/>
      <c r="F300" s="40"/>
      <c r="G300" s="40"/>
      <c r="H300" s="40"/>
      <c r="I300" s="40"/>
    </row>
    <row r="301" spans="1:9">
      <c r="A301" s="40"/>
      <c r="B301" s="40"/>
      <c r="C301" s="40"/>
      <c r="D301" s="40"/>
      <c r="E301" s="40"/>
      <c r="F301" s="40"/>
      <c r="G301" s="40"/>
      <c r="H301" s="40"/>
      <c r="I301" s="40"/>
    </row>
    <row r="302" spans="1:9">
      <c r="A302" s="40"/>
      <c r="B302" s="40"/>
      <c r="C302" s="40"/>
      <c r="D302" s="40"/>
      <c r="E302" s="40"/>
      <c r="F302" s="40"/>
      <c r="G302" s="40"/>
      <c r="H302" s="40"/>
      <c r="I302" s="40"/>
    </row>
    <row r="303" spans="1:9">
      <c r="A303" s="40"/>
      <c r="B303" s="40"/>
      <c r="C303" s="40"/>
      <c r="D303" s="40"/>
      <c r="E303" s="40"/>
      <c r="F303" s="40"/>
      <c r="G303" s="40"/>
      <c r="H303" s="40"/>
      <c r="I303" s="40"/>
    </row>
    <row r="304" spans="1:9">
      <c r="A304" s="40"/>
      <c r="B304" s="40"/>
      <c r="C304" s="40"/>
      <c r="D304" s="40"/>
      <c r="E304" s="40"/>
      <c r="F304" s="40"/>
      <c r="G304" s="40"/>
      <c r="H304" s="40"/>
      <c r="I304" s="40"/>
    </row>
    <row r="305" spans="1:9">
      <c r="A305" s="40"/>
      <c r="B305" s="40"/>
      <c r="C305" s="40"/>
      <c r="D305" s="40"/>
      <c r="E305" s="40"/>
      <c r="F305" s="40"/>
      <c r="G305" s="40"/>
      <c r="H305" s="40"/>
      <c r="I305" s="40"/>
    </row>
    <row r="306" spans="1:9">
      <c r="A306" s="40"/>
      <c r="B306" s="40"/>
      <c r="C306" s="40"/>
      <c r="D306" s="40"/>
      <c r="E306" s="40"/>
      <c r="F306" s="40"/>
      <c r="G306" s="40"/>
      <c r="H306" s="40"/>
      <c r="I306" s="40"/>
    </row>
    <row r="307" spans="1:9">
      <c r="A307" s="40"/>
      <c r="B307" s="40"/>
      <c r="C307" s="40"/>
      <c r="D307" s="40"/>
      <c r="E307" s="40"/>
      <c r="F307" s="40"/>
      <c r="G307" s="40"/>
      <c r="H307" s="40"/>
      <c r="I307" s="40"/>
    </row>
    <row r="308" spans="1:9">
      <c r="A308" s="40"/>
      <c r="B308" s="40"/>
      <c r="C308" s="40"/>
      <c r="D308" s="40"/>
      <c r="E308" s="40"/>
      <c r="F308" s="40"/>
      <c r="G308" s="40"/>
      <c r="H308" s="40"/>
      <c r="I308" s="40"/>
    </row>
    <row r="309" spans="1:9">
      <c r="A309" s="40"/>
      <c r="B309" s="40"/>
      <c r="C309" s="40"/>
      <c r="D309" s="40"/>
      <c r="E309" s="40"/>
      <c r="F309" s="40"/>
      <c r="G309" s="40"/>
      <c r="H309" s="40"/>
      <c r="I309" s="40"/>
    </row>
    <row r="310" spans="1:9">
      <c r="A310" s="40"/>
      <c r="B310" s="40"/>
      <c r="C310" s="40"/>
      <c r="D310" s="40"/>
      <c r="E310" s="40"/>
      <c r="F310" s="40"/>
      <c r="G310" s="40"/>
      <c r="H310" s="40"/>
      <c r="I310" s="40"/>
    </row>
    <row r="311" spans="1:9">
      <c r="A311" s="40"/>
      <c r="B311" s="40"/>
      <c r="C311" s="40"/>
      <c r="D311" s="40"/>
      <c r="E311" s="40"/>
      <c r="F311" s="40"/>
      <c r="G311" s="40"/>
      <c r="H311" s="40"/>
      <c r="I311" s="40"/>
    </row>
    <row r="312" spans="1:9">
      <c r="A312" s="40"/>
      <c r="B312" s="40"/>
      <c r="C312" s="40"/>
      <c r="D312" s="40"/>
      <c r="E312" s="40"/>
      <c r="F312" s="40"/>
      <c r="G312" s="40"/>
      <c r="H312" s="40"/>
      <c r="I312" s="40"/>
    </row>
    <row r="313" spans="1:9">
      <c r="A313" s="40"/>
      <c r="B313" s="40"/>
      <c r="C313" s="40"/>
      <c r="D313" s="40"/>
      <c r="E313" s="40"/>
      <c r="F313" s="40"/>
      <c r="G313" s="40"/>
      <c r="H313" s="40"/>
      <c r="I313" s="40"/>
    </row>
    <row r="314" spans="1:9">
      <c r="A314" s="40"/>
      <c r="B314" s="40"/>
      <c r="C314" s="40"/>
      <c r="D314" s="40"/>
      <c r="E314" s="40"/>
      <c r="F314" s="40"/>
      <c r="G314" s="40"/>
      <c r="H314" s="40"/>
      <c r="I314" s="40"/>
    </row>
    <row r="315" spans="1:9">
      <c r="A315" s="40"/>
      <c r="B315" s="40"/>
      <c r="C315" s="40"/>
      <c r="D315" s="40"/>
      <c r="E315" s="40"/>
      <c r="F315" s="40"/>
      <c r="G315" s="40"/>
      <c r="H315" s="40"/>
      <c r="I315" s="40"/>
    </row>
    <row r="316" spans="1:9">
      <c r="A316" s="40"/>
      <c r="B316" s="40"/>
      <c r="C316" s="40"/>
      <c r="D316" s="40"/>
      <c r="E316" s="40"/>
      <c r="F316" s="40"/>
      <c r="G316" s="40"/>
      <c r="H316" s="40"/>
      <c r="I316" s="40"/>
    </row>
    <row r="317" spans="1:9">
      <c r="A317" s="40"/>
      <c r="B317" s="40"/>
      <c r="C317" s="40"/>
      <c r="D317" s="40"/>
      <c r="E317" s="40"/>
      <c r="F317" s="40"/>
      <c r="G317" s="40"/>
      <c r="H317" s="40"/>
      <c r="I317" s="40"/>
    </row>
    <row r="318" spans="1:9">
      <c r="A318" s="40"/>
      <c r="B318" s="40"/>
      <c r="C318" s="40"/>
      <c r="D318" s="40"/>
      <c r="E318" s="40"/>
      <c r="F318" s="40"/>
      <c r="G318" s="40"/>
      <c r="H318" s="40"/>
      <c r="I318" s="40"/>
    </row>
    <row r="319" spans="1:9">
      <c r="A319" s="40"/>
      <c r="B319" s="40"/>
      <c r="C319" s="40"/>
      <c r="D319" s="40"/>
      <c r="E319" s="40"/>
      <c r="F319" s="40"/>
      <c r="G319" s="40"/>
      <c r="H319" s="40"/>
      <c r="I319" s="40"/>
    </row>
    <row r="320" spans="1:9">
      <c r="A320" s="40"/>
      <c r="B320" s="40"/>
      <c r="C320" s="40"/>
      <c r="D320" s="40"/>
      <c r="E320" s="40"/>
      <c r="F320" s="40"/>
      <c r="G320" s="40"/>
      <c r="H320" s="40"/>
      <c r="I320" s="40"/>
    </row>
    <row r="321" spans="1:9">
      <c r="A321" s="40"/>
      <c r="B321" s="40"/>
      <c r="C321" s="40"/>
      <c r="D321" s="40"/>
      <c r="E321" s="40"/>
      <c r="F321" s="40"/>
      <c r="G321" s="40"/>
      <c r="H321" s="40"/>
      <c r="I321" s="40"/>
    </row>
    <row r="322" spans="1:9">
      <c r="A322" s="40"/>
      <c r="B322" s="40"/>
      <c r="C322" s="40"/>
      <c r="D322" s="40"/>
      <c r="E322" s="40"/>
      <c r="F322" s="40"/>
      <c r="G322" s="40"/>
      <c r="H322" s="40"/>
      <c r="I322" s="40"/>
    </row>
    <row r="323" spans="1:9">
      <c r="A323" s="40"/>
      <c r="B323" s="40"/>
      <c r="C323" s="40"/>
      <c r="D323" s="40"/>
      <c r="E323" s="40"/>
      <c r="F323" s="40"/>
      <c r="G323" s="40"/>
      <c r="H323" s="40"/>
      <c r="I323" s="40"/>
    </row>
    <row r="324" spans="1:9">
      <c r="A324" s="40"/>
      <c r="B324" s="40"/>
      <c r="C324" s="40"/>
      <c r="D324" s="40"/>
      <c r="E324" s="40"/>
      <c r="F324" s="40"/>
      <c r="G324" s="40"/>
      <c r="H324" s="40"/>
      <c r="I324" s="40"/>
    </row>
    <row r="325" spans="1:9">
      <c r="A325" s="40"/>
      <c r="B325" s="40"/>
      <c r="C325" s="40"/>
      <c r="D325" s="40"/>
      <c r="E325" s="40"/>
      <c r="F325" s="40"/>
      <c r="G325" s="40"/>
      <c r="H325" s="40"/>
      <c r="I325" s="40"/>
    </row>
    <row r="326" spans="1:9">
      <c r="A326" s="40"/>
      <c r="B326" s="40"/>
      <c r="C326" s="40"/>
      <c r="D326" s="40"/>
      <c r="E326" s="40"/>
      <c r="F326" s="40"/>
      <c r="G326" s="40"/>
      <c r="H326" s="40"/>
      <c r="I326" s="40"/>
    </row>
    <row r="327" spans="1:9">
      <c r="A327" s="40"/>
      <c r="B327" s="40"/>
      <c r="C327" s="40"/>
      <c r="D327" s="40"/>
      <c r="E327" s="40"/>
      <c r="F327" s="40"/>
      <c r="G327" s="40"/>
      <c r="H327" s="40"/>
      <c r="I327" s="40"/>
    </row>
    <row r="328" spans="1:9">
      <c r="A328" s="40"/>
      <c r="B328" s="40"/>
      <c r="C328" s="40"/>
      <c r="D328" s="40"/>
      <c r="E328" s="40"/>
      <c r="F328" s="40"/>
      <c r="G328" s="40"/>
      <c r="H328" s="40"/>
      <c r="I328" s="40"/>
    </row>
    <row r="329" spans="1:9">
      <c r="A329" s="40"/>
      <c r="B329" s="40"/>
      <c r="C329" s="40"/>
      <c r="D329" s="40"/>
      <c r="E329" s="40"/>
      <c r="F329" s="40"/>
      <c r="G329" s="40"/>
      <c r="H329" s="40"/>
      <c r="I329" s="40"/>
    </row>
    <row r="330" spans="1:9">
      <c r="A330" s="40"/>
      <c r="B330" s="40"/>
      <c r="C330" s="40"/>
      <c r="D330" s="40"/>
      <c r="E330" s="40"/>
      <c r="F330" s="40"/>
      <c r="G330" s="40"/>
      <c r="H330" s="40"/>
      <c r="I330" s="40"/>
    </row>
    <row r="331" spans="1:9">
      <c r="A331" s="40"/>
      <c r="B331" s="40"/>
      <c r="C331" s="40"/>
      <c r="D331" s="40"/>
      <c r="E331" s="40"/>
      <c r="F331" s="40"/>
      <c r="G331" s="40"/>
      <c r="H331" s="40"/>
      <c r="I331" s="40"/>
    </row>
    <row r="332" spans="1:9">
      <c r="A332" s="40"/>
      <c r="B332" s="40"/>
      <c r="C332" s="40"/>
      <c r="D332" s="40"/>
      <c r="E332" s="40"/>
      <c r="F332" s="40"/>
      <c r="G332" s="40"/>
      <c r="H332" s="40"/>
      <c r="I332" s="40"/>
    </row>
    <row r="333" spans="1:9">
      <c r="A333" s="40"/>
      <c r="B333" s="40"/>
      <c r="C333" s="40"/>
      <c r="D333" s="40"/>
      <c r="E333" s="40"/>
      <c r="F333" s="40"/>
      <c r="G333" s="40"/>
      <c r="H333" s="40"/>
      <c r="I333" s="40"/>
    </row>
    <row r="334" spans="1:9">
      <c r="A334" s="40"/>
      <c r="B334" s="40"/>
      <c r="C334" s="40"/>
      <c r="D334" s="40"/>
      <c r="E334" s="40"/>
      <c r="F334" s="40"/>
      <c r="G334" s="40"/>
      <c r="H334" s="40"/>
      <c r="I334" s="40"/>
    </row>
    <row r="335" spans="1:9">
      <c r="A335" s="40"/>
      <c r="B335" s="40"/>
      <c r="C335" s="40"/>
      <c r="D335" s="40"/>
      <c r="E335" s="40"/>
      <c r="F335" s="40"/>
      <c r="G335" s="40"/>
      <c r="H335" s="40"/>
      <c r="I335" s="40"/>
    </row>
    <row r="336" spans="1:9">
      <c r="A336" s="40"/>
      <c r="B336" s="40"/>
      <c r="C336" s="40"/>
      <c r="D336" s="40"/>
      <c r="E336" s="40"/>
      <c r="F336" s="40"/>
      <c r="G336" s="40"/>
      <c r="H336" s="40"/>
      <c r="I336" s="40"/>
    </row>
    <row r="337" spans="1:9">
      <c r="A337" s="40"/>
      <c r="B337" s="40"/>
      <c r="C337" s="40"/>
      <c r="D337" s="40"/>
      <c r="E337" s="40"/>
      <c r="F337" s="40"/>
      <c r="G337" s="40"/>
      <c r="H337" s="40"/>
      <c r="I337" s="40"/>
    </row>
    <row r="338" spans="1:9">
      <c r="A338" s="40"/>
      <c r="B338" s="40"/>
      <c r="C338" s="40"/>
      <c r="D338" s="40"/>
      <c r="E338" s="40"/>
      <c r="F338" s="40"/>
      <c r="G338" s="40"/>
      <c r="H338" s="40"/>
      <c r="I338" s="40"/>
    </row>
    <row r="339" spans="1:9">
      <c r="A339" s="40"/>
      <c r="B339" s="40"/>
      <c r="C339" s="40"/>
      <c r="D339" s="40"/>
      <c r="E339" s="40"/>
      <c r="F339" s="40"/>
      <c r="G339" s="40"/>
      <c r="H339" s="40"/>
      <c r="I339" s="40"/>
    </row>
    <row r="340" spans="1:9">
      <c r="A340" s="40"/>
      <c r="B340" s="40"/>
      <c r="C340" s="40"/>
      <c r="D340" s="40"/>
      <c r="E340" s="40"/>
      <c r="F340" s="40"/>
      <c r="G340" s="40"/>
      <c r="H340" s="40"/>
      <c r="I340" s="40"/>
    </row>
    <row r="341" spans="1:9">
      <c r="A341" s="40"/>
      <c r="B341" s="40"/>
      <c r="C341" s="40"/>
      <c r="D341" s="40"/>
      <c r="E341" s="40"/>
      <c r="F341" s="40"/>
      <c r="G341" s="40"/>
      <c r="H341" s="40"/>
      <c r="I341" s="40"/>
    </row>
    <row r="342" spans="1:9">
      <c r="A342" s="40"/>
      <c r="B342" s="40"/>
      <c r="C342" s="40"/>
      <c r="D342" s="40"/>
      <c r="E342" s="40"/>
      <c r="F342" s="40"/>
      <c r="G342" s="40"/>
      <c r="H342" s="40"/>
      <c r="I342" s="40"/>
    </row>
    <row r="343" spans="1:9">
      <c r="A343" s="40"/>
      <c r="B343" s="40"/>
      <c r="C343" s="40"/>
      <c r="D343" s="40"/>
      <c r="E343" s="40"/>
      <c r="F343" s="40"/>
      <c r="G343" s="40"/>
      <c r="H343" s="40"/>
      <c r="I343" s="40"/>
    </row>
    <row r="344" spans="1:9">
      <c r="A344" s="40"/>
      <c r="B344" s="40"/>
      <c r="C344" s="40"/>
      <c r="D344" s="40"/>
      <c r="E344" s="40"/>
      <c r="F344" s="40"/>
      <c r="G344" s="40"/>
      <c r="H344" s="40"/>
      <c r="I344" s="40"/>
    </row>
    <row r="345" spans="1:9">
      <c r="A345" s="40"/>
      <c r="B345" s="40"/>
      <c r="C345" s="40"/>
      <c r="D345" s="40"/>
      <c r="E345" s="40"/>
      <c r="F345" s="40"/>
      <c r="G345" s="40"/>
      <c r="H345" s="40"/>
      <c r="I345" s="40"/>
    </row>
    <row r="346" spans="1:9">
      <c r="A346" s="40"/>
      <c r="B346" s="40"/>
      <c r="C346" s="40"/>
      <c r="D346" s="40"/>
      <c r="E346" s="40"/>
      <c r="F346" s="40"/>
      <c r="G346" s="40"/>
      <c r="H346" s="40"/>
      <c r="I346" s="40"/>
    </row>
    <row r="347" spans="1:9">
      <c r="A347" s="40"/>
      <c r="B347" s="40"/>
      <c r="C347" s="40"/>
      <c r="D347" s="40"/>
      <c r="E347" s="40"/>
      <c r="F347" s="40"/>
      <c r="G347" s="40"/>
      <c r="H347" s="40"/>
      <c r="I347" s="40"/>
    </row>
    <row r="348" spans="1:9">
      <c r="A348" s="40"/>
      <c r="B348" s="40"/>
      <c r="C348" s="40"/>
      <c r="D348" s="40"/>
      <c r="E348" s="40"/>
      <c r="F348" s="40"/>
      <c r="G348" s="40"/>
      <c r="H348" s="40"/>
      <c r="I348" s="40"/>
    </row>
    <row r="349" spans="1:9">
      <c r="A349" s="40"/>
      <c r="B349" s="40"/>
      <c r="C349" s="40"/>
      <c r="D349" s="40"/>
      <c r="E349" s="40"/>
      <c r="F349" s="40"/>
      <c r="G349" s="40"/>
      <c r="H349" s="40"/>
      <c r="I349" s="40"/>
    </row>
    <row r="350" spans="1:9">
      <c r="A350" s="40"/>
      <c r="B350" s="40"/>
      <c r="C350" s="40"/>
      <c r="D350" s="40"/>
      <c r="E350" s="40"/>
      <c r="F350" s="40"/>
      <c r="G350" s="40"/>
      <c r="H350" s="40"/>
      <c r="I350" s="40"/>
    </row>
    <row r="351" spans="1:9">
      <c r="A351" s="40"/>
      <c r="B351" s="40"/>
      <c r="C351" s="40"/>
      <c r="D351" s="40"/>
      <c r="E351" s="40"/>
      <c r="F351" s="40"/>
      <c r="G351" s="40"/>
      <c r="H351" s="40"/>
      <c r="I351" s="40"/>
    </row>
    <row r="352" spans="1:9">
      <c r="A352" s="40"/>
      <c r="B352" s="40"/>
      <c r="C352" s="40"/>
      <c r="D352" s="40"/>
      <c r="E352" s="40"/>
      <c r="F352" s="40"/>
      <c r="G352" s="40"/>
      <c r="H352" s="40"/>
      <c r="I352" s="40"/>
    </row>
    <row r="353" spans="1:9">
      <c r="A353" s="40"/>
      <c r="B353" s="40"/>
      <c r="C353" s="40"/>
      <c r="D353" s="40"/>
      <c r="E353" s="40"/>
      <c r="F353" s="40"/>
      <c r="G353" s="40"/>
      <c r="H353" s="40"/>
      <c r="I353" s="40"/>
    </row>
    <row r="354" spans="1:9">
      <c r="A354" s="40"/>
      <c r="B354" s="40"/>
      <c r="C354" s="40"/>
      <c r="D354" s="40"/>
      <c r="E354" s="40"/>
      <c r="F354" s="40"/>
      <c r="G354" s="40"/>
      <c r="H354" s="40"/>
      <c r="I354" s="40"/>
    </row>
    <row r="355" spans="1:9">
      <c r="A355" s="40"/>
      <c r="B355" s="40"/>
      <c r="C355" s="40"/>
      <c r="D355" s="40"/>
      <c r="E355" s="40"/>
      <c r="F355" s="40"/>
      <c r="G355" s="40"/>
      <c r="H355" s="40"/>
      <c r="I355" s="40"/>
    </row>
    <row r="356" spans="1:9">
      <c r="A356" s="40"/>
      <c r="B356" s="40"/>
      <c r="C356" s="40"/>
      <c r="D356" s="40"/>
      <c r="E356" s="40"/>
      <c r="F356" s="40"/>
      <c r="G356" s="40"/>
      <c r="H356" s="40"/>
      <c r="I356" s="40"/>
    </row>
    <row r="357" spans="1:9">
      <c r="A357" s="40"/>
      <c r="B357" s="40"/>
      <c r="C357" s="40"/>
      <c r="D357" s="40"/>
      <c r="E357" s="40"/>
      <c r="F357" s="40"/>
      <c r="G357" s="40"/>
      <c r="H357" s="40"/>
      <c r="I357" s="40"/>
    </row>
    <row r="358" spans="1:9">
      <c r="A358" s="40"/>
      <c r="B358" s="40"/>
      <c r="C358" s="40"/>
      <c r="D358" s="40"/>
      <c r="E358" s="40"/>
      <c r="F358" s="40"/>
      <c r="G358" s="40"/>
      <c r="H358" s="40"/>
      <c r="I358" s="40"/>
    </row>
    <row r="359" spans="1:9">
      <c r="A359" s="40"/>
      <c r="B359" s="40"/>
      <c r="C359" s="40"/>
      <c r="D359" s="40"/>
      <c r="E359" s="40"/>
      <c r="F359" s="40"/>
      <c r="G359" s="40"/>
      <c r="H359" s="40"/>
      <c r="I359" s="40"/>
    </row>
    <row r="360" spans="1:9">
      <c r="A360" s="40"/>
      <c r="B360" s="40"/>
      <c r="C360" s="40"/>
      <c r="D360" s="40"/>
      <c r="E360" s="40"/>
      <c r="F360" s="40"/>
      <c r="G360" s="40"/>
      <c r="H360" s="40"/>
      <c r="I360" s="40"/>
    </row>
    <row r="361" spans="1:9">
      <c r="A361" s="40"/>
      <c r="B361" s="40"/>
      <c r="C361" s="40"/>
      <c r="D361" s="40"/>
      <c r="E361" s="40"/>
      <c r="F361" s="40"/>
      <c r="G361" s="40"/>
      <c r="H361" s="40"/>
      <c r="I361" s="40"/>
    </row>
    <row r="362" spans="1:9">
      <c r="A362" s="40"/>
      <c r="B362" s="40"/>
      <c r="C362" s="40"/>
      <c r="D362" s="40"/>
      <c r="E362" s="40"/>
      <c r="F362" s="40"/>
      <c r="G362" s="40"/>
      <c r="H362" s="40"/>
      <c r="I362" s="40"/>
    </row>
    <row r="363" spans="1:9">
      <c r="A363" s="40"/>
      <c r="B363" s="40"/>
      <c r="C363" s="40"/>
      <c r="D363" s="40"/>
      <c r="E363" s="40"/>
      <c r="F363" s="40"/>
      <c r="G363" s="40"/>
      <c r="H363" s="40"/>
      <c r="I363" s="40"/>
    </row>
    <row r="364" spans="1:9">
      <c r="A364" s="40"/>
      <c r="B364" s="40"/>
      <c r="C364" s="40"/>
      <c r="D364" s="40"/>
      <c r="E364" s="40"/>
      <c r="F364" s="40"/>
      <c r="G364" s="40"/>
      <c r="H364" s="40"/>
      <c r="I364" s="40"/>
    </row>
    <row r="365" spans="1:9">
      <c r="A365" s="40"/>
      <c r="B365" s="40"/>
      <c r="C365" s="40"/>
      <c r="D365" s="40"/>
      <c r="E365" s="40"/>
      <c r="F365" s="40"/>
      <c r="G365" s="40"/>
      <c r="H365" s="40"/>
      <c r="I365" s="40"/>
    </row>
    <row r="366" spans="1:9">
      <c r="A366" s="40"/>
      <c r="B366" s="40"/>
      <c r="C366" s="40"/>
      <c r="D366" s="40"/>
      <c r="E366" s="40"/>
      <c r="F366" s="40"/>
      <c r="G366" s="40"/>
      <c r="H366" s="40"/>
      <c r="I366" s="40"/>
    </row>
    <row r="367" spans="1:9">
      <c r="A367" s="40"/>
      <c r="B367" s="40"/>
      <c r="C367" s="40"/>
      <c r="D367" s="40"/>
      <c r="E367" s="40"/>
      <c r="F367" s="40"/>
      <c r="G367" s="40"/>
      <c r="H367" s="40"/>
      <c r="I367" s="40"/>
    </row>
    <row r="368" spans="1:9">
      <c r="A368" s="40"/>
      <c r="B368" s="40"/>
      <c r="C368" s="40"/>
      <c r="D368" s="40"/>
      <c r="E368" s="40"/>
      <c r="F368" s="40"/>
      <c r="G368" s="40"/>
      <c r="H368" s="40"/>
      <c r="I368" s="40"/>
    </row>
    <row r="369" spans="1:9">
      <c r="A369" s="40"/>
      <c r="B369" s="40"/>
      <c r="C369" s="40"/>
      <c r="D369" s="40"/>
      <c r="E369" s="40"/>
      <c r="F369" s="40"/>
      <c r="G369" s="40"/>
      <c r="H369" s="40"/>
      <c r="I369" s="40"/>
    </row>
    <row r="370" spans="1:9">
      <c r="A370" s="40"/>
      <c r="B370" s="40"/>
      <c r="C370" s="40"/>
      <c r="D370" s="40"/>
      <c r="E370" s="40"/>
      <c r="F370" s="40"/>
      <c r="G370" s="40"/>
      <c r="H370" s="40"/>
      <c r="I370" s="40"/>
    </row>
    <row r="371" spans="1:9">
      <c r="A371" s="40"/>
      <c r="B371" s="40"/>
      <c r="C371" s="40"/>
      <c r="D371" s="40"/>
      <c r="E371" s="40"/>
      <c r="F371" s="40"/>
      <c r="G371" s="40"/>
      <c r="H371" s="40"/>
      <c r="I371" s="40"/>
    </row>
    <row r="372" spans="1:9">
      <c r="A372" s="40"/>
      <c r="B372" s="40"/>
      <c r="C372" s="40"/>
      <c r="D372" s="40"/>
      <c r="E372" s="40"/>
      <c r="F372" s="40"/>
      <c r="G372" s="40"/>
      <c r="H372" s="40"/>
      <c r="I372" s="40"/>
    </row>
    <row r="373" spans="1:9">
      <c r="A373" s="40"/>
      <c r="B373" s="40"/>
      <c r="C373" s="40"/>
      <c r="D373" s="40"/>
      <c r="E373" s="40"/>
      <c r="F373" s="40"/>
      <c r="G373" s="40"/>
      <c r="H373" s="40"/>
      <c r="I373" s="40"/>
    </row>
    <row r="374" spans="1:9">
      <c r="A374" s="40"/>
      <c r="B374" s="40"/>
      <c r="C374" s="40"/>
      <c r="D374" s="40"/>
      <c r="E374" s="40"/>
      <c r="F374" s="40"/>
      <c r="G374" s="40"/>
      <c r="H374" s="40"/>
      <c r="I374" s="40"/>
    </row>
    <row r="375" spans="1:9">
      <c r="A375" s="40"/>
      <c r="B375" s="40"/>
      <c r="C375" s="40"/>
      <c r="D375" s="40"/>
      <c r="E375" s="40"/>
      <c r="F375" s="40"/>
      <c r="G375" s="40"/>
      <c r="H375" s="40"/>
      <c r="I375" s="40"/>
    </row>
    <row r="376" spans="1:9">
      <c r="A376" s="40"/>
      <c r="B376" s="40"/>
      <c r="C376" s="40"/>
      <c r="D376" s="40"/>
      <c r="E376" s="40"/>
      <c r="F376" s="40"/>
      <c r="G376" s="40"/>
      <c r="H376" s="40"/>
      <c r="I376" s="40"/>
    </row>
    <row r="377" spans="1:9">
      <c r="A377" s="40"/>
      <c r="B377" s="40"/>
      <c r="C377" s="40"/>
      <c r="D377" s="40"/>
      <c r="E377" s="40"/>
      <c r="F377" s="40"/>
      <c r="G377" s="40"/>
      <c r="H377" s="40"/>
      <c r="I377" s="40"/>
    </row>
    <row r="378" spans="1:9">
      <c r="A378" s="40"/>
      <c r="B378" s="40"/>
      <c r="C378" s="40"/>
      <c r="D378" s="40"/>
      <c r="E378" s="40"/>
      <c r="F378" s="40"/>
      <c r="G378" s="40"/>
      <c r="H378" s="40"/>
      <c r="I378" s="40"/>
    </row>
    <row r="379" spans="1:9">
      <c r="A379" s="40"/>
      <c r="B379" s="40"/>
      <c r="C379" s="40"/>
      <c r="D379" s="40"/>
      <c r="E379" s="40"/>
      <c r="F379" s="40"/>
      <c r="G379" s="40"/>
      <c r="H379" s="40"/>
      <c r="I379" s="40"/>
    </row>
    <row r="380" spans="1:9">
      <c r="A380" s="40"/>
      <c r="B380" s="40"/>
      <c r="C380" s="40"/>
      <c r="D380" s="40"/>
      <c r="E380" s="40"/>
      <c r="F380" s="40"/>
      <c r="G380" s="40"/>
      <c r="H380" s="40"/>
      <c r="I380" s="40"/>
    </row>
    <row r="381" spans="1:9">
      <c r="A381" s="40"/>
      <c r="B381" s="40"/>
      <c r="C381" s="40"/>
      <c r="D381" s="40"/>
      <c r="E381" s="40"/>
      <c r="F381" s="40"/>
      <c r="G381" s="40"/>
      <c r="H381" s="40"/>
      <c r="I381" s="40"/>
    </row>
    <row r="382" spans="1:9">
      <c r="A382" s="40"/>
      <c r="B382" s="40"/>
      <c r="C382" s="40"/>
      <c r="D382" s="40"/>
      <c r="E382" s="40"/>
      <c r="F382" s="40"/>
      <c r="G382" s="40"/>
      <c r="H382" s="40"/>
      <c r="I382" s="40"/>
    </row>
    <row r="383" spans="1:9">
      <c r="A383" s="40"/>
      <c r="B383" s="40"/>
      <c r="C383" s="40"/>
      <c r="D383" s="40"/>
      <c r="E383" s="40"/>
      <c r="F383" s="40"/>
      <c r="G383" s="40"/>
      <c r="H383" s="40"/>
      <c r="I383" s="40"/>
    </row>
    <row r="384" spans="1:9">
      <c r="A384" s="40"/>
      <c r="B384" s="40"/>
      <c r="C384" s="40"/>
      <c r="D384" s="40"/>
      <c r="E384" s="40"/>
      <c r="F384" s="40"/>
      <c r="G384" s="40"/>
      <c r="H384" s="40"/>
      <c r="I384" s="40"/>
    </row>
    <row r="385" spans="1:9">
      <c r="A385" s="40"/>
      <c r="B385" s="40"/>
      <c r="C385" s="40"/>
      <c r="D385" s="40"/>
      <c r="E385" s="40"/>
      <c r="F385" s="40"/>
      <c r="G385" s="40"/>
      <c r="H385" s="40"/>
      <c r="I385" s="40"/>
    </row>
    <row r="386" spans="1:9">
      <c r="A386" s="40"/>
      <c r="B386" s="40"/>
      <c r="C386" s="40"/>
      <c r="D386" s="40"/>
      <c r="E386" s="40"/>
      <c r="F386" s="40"/>
      <c r="G386" s="40"/>
      <c r="H386" s="40"/>
      <c r="I386" s="40"/>
    </row>
    <row r="387" spans="1:9">
      <c r="A387" s="40"/>
      <c r="B387" s="40"/>
      <c r="C387" s="40"/>
      <c r="D387" s="40"/>
      <c r="E387" s="40"/>
      <c r="F387" s="40"/>
      <c r="G387" s="40"/>
      <c r="H387" s="40"/>
      <c r="I387" s="40"/>
    </row>
    <row r="388" spans="1:9">
      <c r="A388" s="40"/>
      <c r="B388" s="40"/>
      <c r="C388" s="40"/>
      <c r="D388" s="40"/>
      <c r="E388" s="40"/>
      <c r="F388" s="40"/>
      <c r="G388" s="40"/>
      <c r="H388" s="40"/>
      <c r="I388" s="40"/>
    </row>
    <row r="389" spans="1:9">
      <c r="A389" s="40"/>
      <c r="B389" s="40"/>
      <c r="C389" s="40"/>
      <c r="D389" s="40"/>
      <c r="E389" s="40"/>
      <c r="F389" s="40"/>
      <c r="G389" s="40"/>
      <c r="H389" s="40"/>
      <c r="I389" s="40"/>
    </row>
    <row r="390" spans="1:9">
      <c r="A390" s="40"/>
      <c r="B390" s="40"/>
      <c r="C390" s="40"/>
      <c r="D390" s="40"/>
      <c r="E390" s="40"/>
      <c r="F390" s="40"/>
      <c r="G390" s="40"/>
      <c r="H390" s="40"/>
      <c r="I390" s="40"/>
    </row>
    <row r="391" spans="1:9">
      <c r="A391" s="40"/>
      <c r="B391" s="40"/>
      <c r="C391" s="40"/>
      <c r="D391" s="40"/>
      <c r="E391" s="40"/>
      <c r="F391" s="40"/>
      <c r="G391" s="40"/>
      <c r="H391" s="40"/>
      <c r="I391" s="40"/>
    </row>
    <row r="392" spans="1:9">
      <c r="A392" s="40"/>
      <c r="B392" s="40"/>
      <c r="C392" s="40"/>
      <c r="D392" s="40"/>
      <c r="E392" s="40"/>
      <c r="F392" s="40"/>
      <c r="G392" s="40"/>
      <c r="H392" s="40"/>
      <c r="I392" s="40"/>
    </row>
    <row r="393" spans="1:9">
      <c r="A393" s="40"/>
      <c r="B393" s="40"/>
      <c r="C393" s="40"/>
      <c r="D393" s="40"/>
      <c r="E393" s="40"/>
      <c r="F393" s="40"/>
      <c r="G393" s="40"/>
      <c r="H393" s="40"/>
      <c r="I393" s="40"/>
    </row>
    <row r="394" spans="1:9">
      <c r="A394" s="40"/>
      <c r="B394" s="40"/>
      <c r="C394" s="40"/>
      <c r="D394" s="40"/>
      <c r="E394" s="40"/>
      <c r="F394" s="40"/>
      <c r="G394" s="40"/>
      <c r="H394" s="40"/>
      <c r="I394" s="40"/>
    </row>
    <row r="395" spans="1:9">
      <c r="A395" s="40"/>
      <c r="B395" s="40"/>
      <c r="C395" s="40"/>
      <c r="D395" s="40"/>
      <c r="E395" s="40"/>
      <c r="F395" s="40"/>
      <c r="G395" s="40"/>
      <c r="H395" s="40"/>
      <c r="I395" s="40"/>
    </row>
    <row r="396" spans="1:9">
      <c r="A396" s="40"/>
      <c r="B396" s="40"/>
      <c r="C396" s="40"/>
      <c r="D396" s="40"/>
      <c r="E396" s="40"/>
      <c r="F396" s="40"/>
      <c r="G396" s="40"/>
      <c r="H396" s="40"/>
      <c r="I396" s="40"/>
    </row>
    <row r="397" spans="1:9">
      <c r="A397" s="40"/>
      <c r="B397" s="40"/>
      <c r="C397" s="40"/>
      <c r="D397" s="40"/>
      <c r="E397" s="40"/>
      <c r="F397" s="40"/>
      <c r="G397" s="40"/>
      <c r="H397" s="40"/>
      <c r="I397" s="40"/>
    </row>
    <row r="398" spans="1:9">
      <c r="A398" s="40"/>
      <c r="B398" s="40"/>
      <c r="C398" s="40"/>
      <c r="D398" s="40"/>
      <c r="E398" s="40"/>
      <c r="F398" s="40"/>
      <c r="G398" s="40"/>
      <c r="H398" s="40"/>
      <c r="I398" s="40"/>
    </row>
    <row r="399" spans="1:9">
      <c r="A399" s="40"/>
      <c r="B399" s="40"/>
      <c r="C399" s="40"/>
      <c r="D399" s="40"/>
      <c r="E399" s="40"/>
      <c r="F399" s="40"/>
      <c r="G399" s="40"/>
      <c r="H399" s="40"/>
      <c r="I399" s="40"/>
    </row>
    <row r="400" spans="1:9">
      <c r="A400" s="40"/>
      <c r="B400" s="40"/>
      <c r="C400" s="40"/>
      <c r="D400" s="40"/>
      <c r="E400" s="40"/>
      <c r="F400" s="40"/>
      <c r="G400" s="40"/>
      <c r="H400" s="40"/>
      <c r="I400" s="40"/>
    </row>
    <row r="401" spans="1:9">
      <c r="A401" s="40"/>
      <c r="B401" s="40"/>
      <c r="C401" s="40"/>
      <c r="D401" s="40"/>
      <c r="E401" s="40"/>
      <c r="F401" s="40"/>
      <c r="G401" s="40"/>
      <c r="H401" s="40"/>
      <c r="I401" s="40"/>
    </row>
    <row r="402" spans="1:9">
      <c r="A402" s="40"/>
      <c r="B402" s="40"/>
      <c r="C402" s="40"/>
      <c r="D402" s="40"/>
      <c r="E402" s="40"/>
      <c r="F402" s="40"/>
      <c r="G402" s="40"/>
      <c r="H402" s="40"/>
      <c r="I402" s="40"/>
    </row>
    <row r="403" spans="1:9">
      <c r="A403" s="40"/>
      <c r="B403" s="40"/>
      <c r="C403" s="40"/>
      <c r="D403" s="40"/>
      <c r="E403" s="40"/>
      <c r="F403" s="40"/>
      <c r="G403" s="40"/>
      <c r="H403" s="40"/>
      <c r="I403" s="40"/>
    </row>
    <row r="404" spans="1:9">
      <c r="A404" s="40"/>
      <c r="B404" s="40"/>
      <c r="C404" s="40"/>
      <c r="D404" s="40"/>
      <c r="E404" s="40"/>
      <c r="F404" s="40"/>
      <c r="G404" s="40"/>
      <c r="H404" s="40"/>
      <c r="I404" s="40"/>
    </row>
    <row r="405" spans="1:9">
      <c r="A405" s="40"/>
      <c r="B405" s="40"/>
      <c r="C405" s="40"/>
      <c r="D405" s="40"/>
      <c r="E405" s="40"/>
      <c r="F405" s="40"/>
      <c r="G405" s="40"/>
      <c r="H405" s="40"/>
      <c r="I405" s="40"/>
    </row>
    <row r="406" spans="1:9">
      <c r="A406" s="40"/>
      <c r="B406" s="40"/>
      <c r="C406" s="40"/>
      <c r="D406" s="40"/>
      <c r="E406" s="40"/>
      <c r="F406" s="40"/>
      <c r="G406" s="40"/>
      <c r="H406" s="40"/>
      <c r="I406" s="40"/>
    </row>
    <row r="407" spans="1:9">
      <c r="A407" s="40"/>
      <c r="B407" s="40"/>
      <c r="C407" s="40"/>
      <c r="D407" s="40"/>
      <c r="E407" s="40"/>
      <c r="F407" s="40"/>
      <c r="G407" s="40"/>
      <c r="H407" s="40"/>
      <c r="I407" s="40"/>
    </row>
    <row r="408" spans="1:9">
      <c r="A408" s="40"/>
      <c r="B408" s="40"/>
      <c r="C408" s="40"/>
      <c r="D408" s="40"/>
      <c r="E408" s="40"/>
      <c r="F408" s="40"/>
      <c r="G408" s="40"/>
      <c r="H408" s="40"/>
      <c r="I408" s="40"/>
    </row>
    <row r="409" spans="1:9">
      <c r="A409" s="40"/>
      <c r="B409" s="40"/>
      <c r="C409" s="40"/>
      <c r="D409" s="40"/>
      <c r="E409" s="40"/>
      <c r="F409" s="40"/>
      <c r="G409" s="40"/>
      <c r="H409" s="40"/>
      <c r="I409" s="40"/>
    </row>
    <row r="410" spans="1:9">
      <c r="A410" s="40"/>
      <c r="B410" s="40"/>
      <c r="C410" s="40"/>
      <c r="D410" s="40"/>
      <c r="E410" s="40"/>
      <c r="F410" s="40"/>
      <c r="G410" s="40"/>
      <c r="H410" s="40"/>
      <c r="I410" s="40"/>
    </row>
    <row r="411" spans="1:9">
      <c r="A411" s="40"/>
      <c r="B411" s="40"/>
      <c r="C411" s="40"/>
      <c r="D411" s="40"/>
      <c r="E411" s="40"/>
      <c r="F411" s="40"/>
      <c r="G411" s="40"/>
      <c r="H411" s="40"/>
      <c r="I411" s="40"/>
    </row>
    <row r="412" spans="1:9">
      <c r="A412" s="40"/>
      <c r="B412" s="40"/>
      <c r="C412" s="40"/>
      <c r="D412" s="40"/>
      <c r="E412" s="40"/>
      <c r="F412" s="40"/>
      <c r="G412" s="40"/>
      <c r="H412" s="40"/>
      <c r="I412" s="40"/>
    </row>
    <row r="413" spans="1:9">
      <c r="A413" s="40"/>
      <c r="B413" s="40"/>
      <c r="C413" s="40"/>
      <c r="D413" s="40"/>
      <c r="E413" s="40"/>
      <c r="F413" s="40"/>
      <c r="G413" s="40"/>
      <c r="H413" s="40"/>
      <c r="I413" s="40"/>
    </row>
    <row r="414" spans="1:9">
      <c r="A414" s="40"/>
      <c r="B414" s="40"/>
      <c r="C414" s="40"/>
      <c r="D414" s="40"/>
      <c r="E414" s="40"/>
      <c r="F414" s="40"/>
      <c r="G414" s="40"/>
      <c r="H414" s="40"/>
      <c r="I414" s="40"/>
    </row>
    <row r="415" spans="1:9">
      <c r="A415" s="40"/>
      <c r="B415" s="40"/>
      <c r="C415" s="40"/>
      <c r="D415" s="40"/>
      <c r="E415" s="40"/>
      <c r="F415" s="40"/>
      <c r="G415" s="40"/>
      <c r="H415" s="40"/>
      <c r="I415" s="40"/>
    </row>
    <row r="416" spans="1:9">
      <c r="A416" s="40"/>
      <c r="B416" s="40"/>
      <c r="C416" s="40"/>
      <c r="D416" s="40"/>
      <c r="E416" s="40"/>
      <c r="F416" s="40"/>
      <c r="G416" s="40"/>
      <c r="H416" s="40"/>
      <c r="I416" s="40"/>
    </row>
    <row r="417" spans="1:9">
      <c r="A417" s="40"/>
      <c r="B417" s="40"/>
      <c r="C417" s="40"/>
      <c r="D417" s="40"/>
      <c r="E417" s="40"/>
      <c r="F417" s="40"/>
      <c r="G417" s="40"/>
      <c r="H417" s="40"/>
      <c r="I417" s="40"/>
    </row>
    <row r="418" spans="1:9">
      <c r="A418" s="40"/>
      <c r="B418" s="40"/>
      <c r="C418" s="40"/>
      <c r="D418" s="40"/>
      <c r="E418" s="40"/>
      <c r="F418" s="40"/>
      <c r="G418" s="40"/>
      <c r="H418" s="40"/>
      <c r="I418" s="40"/>
    </row>
    <row r="419" spans="1:9">
      <c r="A419" s="40"/>
      <c r="B419" s="40"/>
      <c r="C419" s="40"/>
      <c r="D419" s="40"/>
      <c r="E419" s="40"/>
      <c r="F419" s="40"/>
      <c r="G419" s="40"/>
      <c r="H419" s="40"/>
      <c r="I419" s="40"/>
    </row>
    <row r="420" spans="1:9">
      <c r="A420" s="40"/>
      <c r="B420" s="40"/>
      <c r="C420" s="40"/>
      <c r="D420" s="40"/>
      <c r="E420" s="40"/>
      <c r="F420" s="40"/>
      <c r="G420" s="40"/>
      <c r="H420" s="40"/>
      <c r="I420" s="40"/>
    </row>
    <row r="421" spans="1:9">
      <c r="A421" s="40"/>
      <c r="B421" s="40"/>
      <c r="C421" s="40"/>
      <c r="D421" s="40"/>
      <c r="E421" s="40"/>
      <c r="F421" s="40"/>
      <c r="G421" s="40"/>
      <c r="H421" s="40"/>
      <c r="I421" s="40"/>
    </row>
    <row r="422" spans="1:9">
      <c r="A422" s="40"/>
      <c r="B422" s="40"/>
      <c r="C422" s="40"/>
      <c r="D422" s="40"/>
      <c r="E422" s="40"/>
      <c r="F422" s="40"/>
      <c r="G422" s="40"/>
      <c r="H422" s="40"/>
      <c r="I422" s="40"/>
    </row>
    <row r="423" spans="1:9">
      <c r="A423" s="40"/>
      <c r="B423" s="40"/>
      <c r="C423" s="40"/>
      <c r="D423" s="40"/>
      <c r="E423" s="40"/>
      <c r="F423" s="40"/>
      <c r="G423" s="40"/>
      <c r="H423" s="40"/>
      <c r="I423" s="40"/>
    </row>
    <row r="424" spans="1:9">
      <c r="A424" s="40"/>
      <c r="B424" s="40"/>
      <c r="C424" s="40"/>
      <c r="D424" s="40"/>
      <c r="E424" s="40"/>
      <c r="F424" s="40"/>
      <c r="G424" s="40"/>
      <c r="H424" s="40"/>
      <c r="I424" s="40"/>
    </row>
    <row r="425" spans="1:9">
      <c r="A425" s="40"/>
      <c r="B425" s="40"/>
      <c r="C425" s="40"/>
      <c r="D425" s="40"/>
      <c r="E425" s="40"/>
      <c r="F425" s="40"/>
      <c r="G425" s="40"/>
      <c r="H425" s="40"/>
      <c r="I425" s="40"/>
    </row>
    <row r="426" spans="1:9">
      <c r="A426" s="40"/>
      <c r="B426" s="40"/>
      <c r="C426" s="40"/>
      <c r="D426" s="40"/>
      <c r="E426" s="40"/>
      <c r="F426" s="40"/>
      <c r="G426" s="40"/>
      <c r="H426" s="40"/>
      <c r="I426" s="40"/>
    </row>
    <row r="427" spans="1:9">
      <c r="A427" s="40"/>
      <c r="B427" s="40"/>
      <c r="C427" s="40"/>
      <c r="D427" s="40"/>
      <c r="E427" s="40"/>
      <c r="F427" s="40"/>
      <c r="G427" s="40"/>
      <c r="H427" s="40"/>
      <c r="I427" s="40"/>
    </row>
    <row r="428" spans="1:9">
      <c r="A428" s="40"/>
      <c r="B428" s="40"/>
      <c r="C428" s="40"/>
      <c r="D428" s="40"/>
      <c r="E428" s="40"/>
      <c r="F428" s="40"/>
      <c r="G428" s="40"/>
      <c r="H428" s="40"/>
      <c r="I428" s="40"/>
    </row>
    <row r="429" spans="1:9">
      <c r="A429" s="40"/>
      <c r="B429" s="40"/>
      <c r="C429" s="40"/>
      <c r="D429" s="40"/>
      <c r="E429" s="40"/>
      <c r="F429" s="40"/>
      <c r="G429" s="40"/>
      <c r="H429" s="40"/>
      <c r="I429" s="40"/>
    </row>
    <row r="430" spans="1:9">
      <c r="A430" s="40"/>
      <c r="B430" s="40"/>
      <c r="C430" s="40"/>
      <c r="D430" s="40"/>
      <c r="E430" s="40"/>
      <c r="F430" s="40"/>
      <c r="G430" s="40"/>
      <c r="H430" s="40"/>
      <c r="I430" s="40"/>
    </row>
    <row r="431" spans="1:9">
      <c r="A431" s="40"/>
      <c r="B431" s="40"/>
      <c r="C431" s="40"/>
      <c r="D431" s="40"/>
      <c r="E431" s="40"/>
      <c r="F431" s="40"/>
      <c r="G431" s="40"/>
      <c r="H431" s="40"/>
      <c r="I431" s="40"/>
    </row>
    <row r="432" spans="1:9">
      <c r="A432" s="40"/>
      <c r="B432" s="40"/>
      <c r="C432" s="40"/>
      <c r="D432" s="40"/>
      <c r="E432" s="40"/>
      <c r="F432" s="40"/>
      <c r="G432" s="40"/>
      <c r="H432" s="40"/>
      <c r="I432" s="40"/>
    </row>
    <row r="433" spans="1:9">
      <c r="A433" s="40"/>
      <c r="B433" s="40"/>
      <c r="C433" s="40"/>
      <c r="D433" s="40"/>
      <c r="E433" s="40"/>
      <c r="F433" s="40"/>
      <c r="G433" s="40"/>
      <c r="H433" s="40"/>
      <c r="I433" s="40"/>
    </row>
    <row r="434" spans="1:9">
      <c r="A434" s="40"/>
      <c r="B434" s="40"/>
      <c r="C434" s="40"/>
      <c r="D434" s="40"/>
      <c r="E434" s="40"/>
      <c r="F434" s="40"/>
      <c r="G434" s="40"/>
      <c r="H434" s="40"/>
      <c r="I434" s="40"/>
    </row>
    <row r="435" spans="1:9">
      <c r="A435" s="40"/>
      <c r="B435" s="40"/>
      <c r="C435" s="40"/>
      <c r="D435" s="40"/>
      <c r="E435" s="40"/>
      <c r="F435" s="40"/>
      <c r="G435" s="40"/>
      <c r="H435" s="40"/>
      <c r="I435" s="40"/>
    </row>
    <row r="436" spans="1:9">
      <c r="A436" s="40"/>
      <c r="B436" s="40"/>
      <c r="C436" s="40"/>
      <c r="D436" s="40"/>
      <c r="E436" s="40"/>
      <c r="F436" s="40"/>
      <c r="G436" s="40"/>
      <c r="H436" s="40"/>
      <c r="I436" s="40"/>
    </row>
    <row r="437" spans="1:9">
      <c r="A437" s="40"/>
      <c r="B437" s="40"/>
      <c r="C437" s="40"/>
      <c r="D437" s="40"/>
      <c r="E437" s="40"/>
      <c r="F437" s="40"/>
      <c r="G437" s="40"/>
      <c r="H437" s="40"/>
      <c r="I437" s="40"/>
    </row>
    <row r="438" spans="1:9">
      <c r="A438" s="40"/>
      <c r="B438" s="40"/>
      <c r="C438" s="40"/>
      <c r="D438" s="40"/>
      <c r="E438" s="40"/>
      <c r="F438" s="40"/>
      <c r="G438" s="40"/>
      <c r="H438" s="40"/>
      <c r="I438" s="40"/>
    </row>
    <row r="439" spans="1:9">
      <c r="A439" s="40"/>
      <c r="B439" s="40"/>
      <c r="C439" s="40"/>
      <c r="D439" s="40"/>
      <c r="E439" s="40"/>
      <c r="F439" s="40"/>
      <c r="G439" s="40"/>
      <c r="H439" s="40"/>
      <c r="I439" s="40"/>
    </row>
    <row r="440" spans="1:9">
      <c r="A440" s="40"/>
      <c r="B440" s="40"/>
      <c r="C440" s="40"/>
      <c r="D440" s="40"/>
      <c r="E440" s="40"/>
      <c r="F440" s="40"/>
      <c r="G440" s="40"/>
      <c r="H440" s="40"/>
      <c r="I440" s="40"/>
    </row>
    <row r="441" spans="1:9">
      <c r="A441" s="40"/>
      <c r="B441" s="40"/>
      <c r="C441" s="40"/>
      <c r="D441" s="40"/>
      <c r="E441" s="40"/>
      <c r="F441" s="40"/>
      <c r="G441" s="40"/>
      <c r="H441" s="40"/>
      <c r="I441" s="40"/>
    </row>
    <row r="442" spans="1:9">
      <c r="A442" s="40"/>
      <c r="B442" s="40"/>
      <c r="C442" s="40"/>
      <c r="D442" s="40"/>
      <c r="E442" s="40"/>
      <c r="F442" s="40"/>
      <c r="G442" s="40"/>
      <c r="H442" s="40"/>
      <c r="I442" s="40"/>
    </row>
    <row r="443" spans="1:9">
      <c r="A443" s="40"/>
      <c r="B443" s="40"/>
      <c r="C443" s="40"/>
      <c r="D443" s="40"/>
      <c r="E443" s="40"/>
      <c r="F443" s="40"/>
      <c r="G443" s="40"/>
      <c r="H443" s="40"/>
      <c r="I443" s="40"/>
    </row>
    <row r="444" spans="1:9">
      <c r="A444" s="40"/>
      <c r="B444" s="40"/>
      <c r="C444" s="40"/>
      <c r="D444" s="40"/>
      <c r="E444" s="40"/>
      <c r="F444" s="40"/>
      <c r="G444" s="40"/>
      <c r="H444" s="40"/>
      <c r="I444" s="40"/>
    </row>
    <row r="445" spans="1:9">
      <c r="A445" s="40"/>
      <c r="B445" s="40"/>
      <c r="C445" s="40"/>
      <c r="D445" s="40"/>
      <c r="E445" s="40"/>
      <c r="F445" s="40"/>
      <c r="G445" s="40"/>
      <c r="H445" s="40"/>
      <c r="I445" s="40"/>
    </row>
    <row r="446" spans="1:9">
      <c r="A446" s="40"/>
      <c r="B446" s="40"/>
      <c r="C446" s="40"/>
      <c r="D446" s="40"/>
      <c r="E446" s="40"/>
      <c r="F446" s="40"/>
      <c r="G446" s="40"/>
      <c r="H446" s="40"/>
      <c r="I446" s="40"/>
    </row>
    <row r="447" spans="1:9">
      <c r="A447" s="40"/>
      <c r="B447" s="40"/>
      <c r="C447" s="40"/>
      <c r="D447" s="40"/>
      <c r="E447" s="40"/>
      <c r="F447" s="40"/>
      <c r="G447" s="40"/>
      <c r="H447" s="40"/>
      <c r="I447" s="40"/>
    </row>
    <row r="448" spans="1:9">
      <c r="A448" s="40"/>
      <c r="B448" s="40"/>
      <c r="C448" s="40"/>
      <c r="D448" s="40"/>
      <c r="E448" s="40"/>
      <c r="F448" s="40"/>
      <c r="G448" s="40"/>
      <c r="H448" s="40"/>
      <c r="I448" s="40"/>
    </row>
    <row r="449" spans="1:9">
      <c r="A449" s="40"/>
      <c r="B449" s="40"/>
      <c r="C449" s="40"/>
      <c r="D449" s="40"/>
      <c r="E449" s="40"/>
      <c r="F449" s="40"/>
      <c r="G449" s="40"/>
      <c r="H449" s="40"/>
      <c r="I449" s="40"/>
    </row>
    <row r="450" spans="1:9">
      <c r="A450" s="40"/>
      <c r="B450" s="40"/>
      <c r="C450" s="40"/>
      <c r="D450" s="40"/>
      <c r="E450" s="40"/>
      <c r="F450" s="40"/>
      <c r="G450" s="40"/>
      <c r="H450" s="40"/>
      <c r="I450" s="40"/>
    </row>
    <row r="451" spans="1:9">
      <c r="A451" s="40"/>
      <c r="B451" s="40"/>
      <c r="C451" s="40"/>
      <c r="D451" s="40"/>
      <c r="E451" s="40"/>
      <c r="F451" s="40"/>
      <c r="G451" s="40"/>
      <c r="H451" s="40"/>
      <c r="I451" s="40"/>
    </row>
    <row r="452" spans="1:9">
      <c r="A452" s="40"/>
      <c r="B452" s="40"/>
      <c r="C452" s="40"/>
      <c r="D452" s="40"/>
      <c r="E452" s="40"/>
      <c r="F452" s="40"/>
      <c r="G452" s="40"/>
      <c r="H452" s="40"/>
      <c r="I452" s="40"/>
    </row>
    <row r="453" spans="1:9">
      <c r="A453" s="40"/>
      <c r="B453" s="40"/>
      <c r="C453" s="40"/>
      <c r="D453" s="40"/>
      <c r="E453" s="40"/>
      <c r="F453" s="40"/>
      <c r="G453" s="40"/>
      <c r="H453" s="40"/>
      <c r="I453" s="40"/>
    </row>
    <row r="454" spans="1:9">
      <c r="A454" s="40"/>
      <c r="B454" s="40"/>
      <c r="C454" s="40"/>
      <c r="D454" s="40"/>
      <c r="E454" s="40"/>
      <c r="F454" s="40"/>
      <c r="G454" s="40"/>
      <c r="H454" s="40"/>
      <c r="I454" s="40"/>
    </row>
    <row r="455" spans="1:9">
      <c r="A455" s="40"/>
      <c r="B455" s="40"/>
      <c r="C455" s="40"/>
      <c r="D455" s="40"/>
      <c r="E455" s="40"/>
      <c r="F455" s="40"/>
      <c r="G455" s="40"/>
      <c r="H455" s="40"/>
      <c r="I455" s="40"/>
    </row>
    <row r="456" spans="1:9">
      <c r="A456" s="40"/>
      <c r="B456" s="40"/>
      <c r="C456" s="40"/>
      <c r="D456" s="40"/>
      <c r="E456" s="40"/>
      <c r="F456" s="40"/>
      <c r="G456" s="40"/>
      <c r="H456" s="40"/>
      <c r="I456" s="40"/>
    </row>
    <row r="457" spans="1:9">
      <c r="A457" s="40"/>
      <c r="B457" s="40"/>
      <c r="C457" s="40"/>
      <c r="D457" s="40"/>
      <c r="E457" s="40"/>
      <c r="F457" s="40"/>
      <c r="G457" s="40"/>
      <c r="H457" s="40"/>
      <c r="I457" s="40"/>
    </row>
    <row r="458" spans="1:9">
      <c r="A458" s="40"/>
      <c r="B458" s="40"/>
      <c r="C458" s="40"/>
      <c r="D458" s="40"/>
      <c r="E458" s="40"/>
      <c r="F458" s="40"/>
      <c r="G458" s="40"/>
      <c r="H458" s="40"/>
      <c r="I458" s="40"/>
    </row>
    <row r="459" spans="1:9">
      <c r="A459" s="40"/>
      <c r="B459" s="40"/>
      <c r="C459" s="40"/>
      <c r="D459" s="40"/>
      <c r="E459" s="40"/>
      <c r="F459" s="40"/>
      <c r="G459" s="40"/>
      <c r="H459" s="40"/>
      <c r="I459" s="40"/>
    </row>
    <row r="460" spans="1:9">
      <c r="A460" s="40"/>
      <c r="B460" s="40"/>
      <c r="C460" s="40"/>
      <c r="D460" s="40"/>
      <c r="E460" s="40"/>
      <c r="F460" s="40"/>
      <c r="G460" s="40"/>
      <c r="H460" s="40"/>
      <c r="I460" s="40"/>
    </row>
    <row r="461" spans="1:9">
      <c r="A461" s="40"/>
      <c r="B461" s="40"/>
      <c r="C461" s="40"/>
      <c r="D461" s="40"/>
      <c r="E461" s="40"/>
      <c r="F461" s="40"/>
      <c r="G461" s="40"/>
      <c r="H461" s="40"/>
      <c r="I461" s="40"/>
    </row>
    <row r="462" spans="1:9">
      <c r="A462" s="40"/>
      <c r="B462" s="40"/>
      <c r="C462" s="40"/>
      <c r="D462" s="40"/>
      <c r="E462" s="40"/>
      <c r="F462" s="40"/>
      <c r="G462" s="40"/>
      <c r="H462" s="40"/>
      <c r="I462" s="40"/>
    </row>
    <row r="463" spans="1:9">
      <c r="A463" s="40"/>
      <c r="B463" s="40"/>
      <c r="C463" s="40"/>
      <c r="D463" s="40"/>
      <c r="E463" s="40"/>
      <c r="F463" s="40"/>
      <c r="G463" s="40"/>
      <c r="H463" s="40"/>
      <c r="I463" s="40"/>
    </row>
    <row r="464" spans="1:9">
      <c r="A464" s="40"/>
      <c r="B464" s="40"/>
      <c r="C464" s="40"/>
      <c r="D464" s="40"/>
      <c r="E464" s="40"/>
      <c r="F464" s="40"/>
      <c r="G464" s="40"/>
      <c r="H464" s="40"/>
      <c r="I464" s="40"/>
    </row>
    <row r="465" spans="1:9">
      <c r="A465" s="40"/>
      <c r="B465" s="40"/>
      <c r="C465" s="40"/>
      <c r="D465" s="40"/>
      <c r="E465" s="40"/>
      <c r="F465" s="40"/>
      <c r="G465" s="40"/>
      <c r="H465" s="40"/>
      <c r="I465" s="40"/>
    </row>
    <row r="466" spans="1:9">
      <c r="A466" s="40"/>
      <c r="B466" s="40"/>
      <c r="C466" s="40"/>
      <c r="D466" s="40"/>
      <c r="E466" s="40"/>
      <c r="F466" s="40"/>
      <c r="G466" s="40"/>
      <c r="H466" s="40"/>
      <c r="I466" s="40"/>
    </row>
    <row r="467" spans="1:9">
      <c r="A467" s="40"/>
      <c r="B467" s="40"/>
      <c r="C467" s="40"/>
      <c r="D467" s="40"/>
      <c r="E467" s="40"/>
      <c r="F467" s="40"/>
      <c r="G467" s="40"/>
      <c r="H467" s="40"/>
      <c r="I467" s="40"/>
    </row>
    <row r="468" spans="1:9">
      <c r="A468" s="40"/>
      <c r="B468" s="40"/>
      <c r="C468" s="40"/>
      <c r="D468" s="40"/>
      <c r="E468" s="40"/>
      <c r="F468" s="40"/>
      <c r="G468" s="40"/>
      <c r="H468" s="40"/>
      <c r="I468" s="40"/>
    </row>
    <row r="469" spans="1:9">
      <c r="A469" s="40"/>
      <c r="B469" s="40"/>
      <c r="C469" s="40"/>
      <c r="D469" s="40"/>
      <c r="E469" s="40"/>
      <c r="F469" s="40"/>
      <c r="G469" s="40"/>
      <c r="H469" s="40"/>
      <c r="I469" s="40"/>
    </row>
    <row r="470" spans="1:9">
      <c r="A470" s="40"/>
      <c r="B470" s="40"/>
      <c r="C470" s="40"/>
      <c r="D470" s="40"/>
      <c r="E470" s="40"/>
      <c r="F470" s="40"/>
      <c r="G470" s="40"/>
      <c r="H470" s="40"/>
      <c r="I470" s="40"/>
    </row>
    <row r="471" spans="1:9">
      <c r="A471" s="40"/>
      <c r="B471" s="40"/>
      <c r="C471" s="40"/>
      <c r="D471" s="40"/>
      <c r="E471" s="40"/>
      <c r="F471" s="40"/>
      <c r="G471" s="40"/>
      <c r="H471" s="40"/>
      <c r="I471" s="40"/>
    </row>
    <row r="472" spans="1:9">
      <c r="A472" s="40"/>
      <c r="B472" s="40"/>
      <c r="C472" s="40"/>
      <c r="D472" s="40"/>
      <c r="E472" s="40"/>
      <c r="F472" s="40"/>
      <c r="G472" s="40"/>
      <c r="H472" s="40"/>
      <c r="I472" s="40"/>
    </row>
    <row r="473" spans="1:9">
      <c r="A473" s="40"/>
      <c r="B473" s="40"/>
      <c r="C473" s="40"/>
      <c r="D473" s="40"/>
      <c r="E473" s="40"/>
      <c r="F473" s="40"/>
      <c r="G473" s="40"/>
      <c r="H473" s="40"/>
      <c r="I473" s="40"/>
    </row>
    <row r="474" spans="1:9">
      <c r="A474" s="40"/>
      <c r="B474" s="40"/>
      <c r="C474" s="40"/>
      <c r="D474" s="40"/>
      <c r="E474" s="40"/>
      <c r="F474" s="40"/>
      <c r="G474" s="40"/>
      <c r="H474" s="40"/>
      <c r="I474" s="40"/>
    </row>
    <row r="475" spans="1:9">
      <c r="A475" s="40"/>
      <c r="B475" s="40"/>
      <c r="C475" s="40"/>
      <c r="D475" s="40"/>
      <c r="E475" s="40"/>
      <c r="F475" s="40"/>
      <c r="G475" s="40"/>
      <c r="H475" s="40"/>
      <c r="I475" s="40"/>
    </row>
    <row r="476" spans="1:9">
      <c r="A476" s="40"/>
      <c r="B476" s="40"/>
      <c r="C476" s="40"/>
      <c r="D476" s="40"/>
      <c r="E476" s="40"/>
      <c r="F476" s="40"/>
      <c r="G476" s="40"/>
      <c r="H476" s="40"/>
      <c r="I476" s="40"/>
    </row>
    <row r="477" spans="1:9">
      <c r="A477" s="40"/>
      <c r="B477" s="40"/>
      <c r="C477" s="40"/>
      <c r="D477" s="40"/>
      <c r="E477" s="40"/>
      <c r="F477" s="40"/>
      <c r="G477" s="40"/>
      <c r="H477" s="40"/>
      <c r="I477" s="40"/>
    </row>
    <row r="478" spans="1:9">
      <c r="A478" s="40"/>
      <c r="B478" s="40"/>
      <c r="C478" s="40"/>
      <c r="D478" s="40"/>
      <c r="E478" s="40"/>
      <c r="F478" s="40"/>
      <c r="G478" s="40"/>
      <c r="H478" s="40"/>
      <c r="I478" s="40"/>
    </row>
    <row r="479" spans="1:9">
      <c r="A479" s="40"/>
      <c r="B479" s="40"/>
      <c r="C479" s="40"/>
      <c r="D479" s="40"/>
      <c r="E479" s="40"/>
      <c r="F479" s="40"/>
      <c r="G479" s="40"/>
      <c r="H479" s="40"/>
      <c r="I479" s="40"/>
    </row>
    <row r="480" spans="1:9">
      <c r="A480" s="40"/>
      <c r="B480" s="40"/>
      <c r="C480" s="40"/>
      <c r="D480" s="40"/>
      <c r="E480" s="40"/>
      <c r="F480" s="40"/>
      <c r="G480" s="40"/>
      <c r="H480" s="40"/>
      <c r="I480" s="40"/>
    </row>
    <row r="481" spans="1:9">
      <c r="A481" s="40"/>
      <c r="B481" s="40"/>
      <c r="C481" s="40"/>
      <c r="D481" s="40"/>
      <c r="E481" s="40"/>
      <c r="F481" s="40"/>
      <c r="G481" s="40"/>
      <c r="H481" s="40"/>
      <c r="I481" s="40"/>
    </row>
    <row r="482" spans="1:9">
      <c r="A482" s="40"/>
      <c r="B482" s="40"/>
      <c r="C482" s="40"/>
      <c r="D482" s="40"/>
      <c r="E482" s="40"/>
      <c r="F482" s="40"/>
      <c r="G482" s="40"/>
      <c r="H482" s="40"/>
      <c r="I482" s="40"/>
    </row>
    <row r="483" spans="1:9">
      <c r="A483" s="40"/>
      <c r="B483" s="40"/>
      <c r="C483" s="40"/>
      <c r="D483" s="40"/>
      <c r="E483" s="40"/>
      <c r="F483" s="40"/>
      <c r="G483" s="40"/>
      <c r="H483" s="40"/>
      <c r="I483" s="40"/>
    </row>
    <row r="484" spans="1:9">
      <c r="A484" s="40"/>
      <c r="B484" s="40"/>
      <c r="C484" s="40"/>
      <c r="D484" s="40"/>
      <c r="E484" s="40"/>
      <c r="F484" s="40"/>
      <c r="G484" s="40"/>
      <c r="H484" s="40"/>
      <c r="I484" s="40"/>
    </row>
    <row r="485" spans="1:9">
      <c r="A485" s="40"/>
      <c r="B485" s="40"/>
      <c r="C485" s="40"/>
      <c r="D485" s="40"/>
      <c r="E485" s="40"/>
      <c r="F485" s="40"/>
      <c r="G485" s="40"/>
      <c r="H485" s="40"/>
      <c r="I485" s="40"/>
    </row>
    <row r="486" spans="1:9">
      <c r="A486" s="40"/>
      <c r="B486" s="40"/>
      <c r="C486" s="40"/>
      <c r="D486" s="40"/>
      <c r="E486" s="40"/>
      <c r="F486" s="40"/>
      <c r="G486" s="40"/>
      <c r="H486" s="40"/>
      <c r="I486" s="40"/>
    </row>
    <row r="487" spans="1:9">
      <c r="A487" s="40"/>
      <c r="B487" s="40"/>
      <c r="C487" s="40"/>
      <c r="D487" s="40"/>
      <c r="E487" s="40"/>
      <c r="F487" s="40"/>
      <c r="G487" s="40"/>
      <c r="H487" s="40"/>
      <c r="I487" s="40"/>
    </row>
    <row r="488" spans="1:9">
      <c r="A488" s="40"/>
      <c r="B488" s="40"/>
      <c r="C488" s="40"/>
      <c r="D488" s="40"/>
      <c r="E488" s="40"/>
      <c r="F488" s="40"/>
      <c r="G488" s="40"/>
      <c r="H488" s="40"/>
      <c r="I488" s="40"/>
    </row>
    <row r="489" spans="1:9">
      <c r="A489" s="40"/>
      <c r="B489" s="40"/>
      <c r="C489" s="40"/>
      <c r="D489" s="40"/>
      <c r="E489" s="40"/>
      <c r="F489" s="40"/>
      <c r="G489" s="40"/>
      <c r="H489" s="40"/>
      <c r="I489" s="40"/>
    </row>
    <row r="490" spans="1:9">
      <c r="A490" s="40"/>
      <c r="B490" s="40"/>
      <c r="C490" s="40"/>
      <c r="D490" s="40"/>
      <c r="E490" s="40"/>
      <c r="F490" s="40"/>
      <c r="G490" s="40"/>
      <c r="H490" s="40"/>
      <c r="I490" s="40"/>
    </row>
    <row r="491" spans="1:9">
      <c r="A491" s="40"/>
      <c r="B491" s="40"/>
      <c r="C491" s="40"/>
      <c r="D491" s="40"/>
      <c r="E491" s="40"/>
      <c r="F491" s="40"/>
      <c r="G491" s="40"/>
      <c r="H491" s="40"/>
      <c r="I491" s="40"/>
    </row>
    <row r="492" spans="1:9">
      <c r="A492" s="40"/>
      <c r="B492" s="40"/>
      <c r="C492" s="40"/>
      <c r="D492" s="40"/>
      <c r="E492" s="40"/>
      <c r="F492" s="40"/>
      <c r="G492" s="40"/>
      <c r="H492" s="40"/>
      <c r="I492" s="40"/>
    </row>
    <row r="493" spans="1:9">
      <c r="A493" s="40"/>
      <c r="B493" s="40"/>
      <c r="C493" s="40"/>
      <c r="D493" s="40"/>
      <c r="E493" s="40"/>
      <c r="F493" s="40"/>
      <c r="G493" s="40"/>
      <c r="H493" s="40"/>
      <c r="I493" s="40"/>
    </row>
    <row r="494" spans="1:9">
      <c r="A494" s="40"/>
      <c r="B494" s="40"/>
      <c r="C494" s="40"/>
      <c r="D494" s="40"/>
      <c r="E494" s="40"/>
      <c r="F494" s="40"/>
      <c r="G494" s="40"/>
      <c r="H494" s="40"/>
      <c r="I494" s="40"/>
    </row>
    <row r="495" spans="1:9">
      <c r="A495" s="40"/>
      <c r="B495" s="40"/>
      <c r="C495" s="40"/>
      <c r="D495" s="40"/>
      <c r="E495" s="40"/>
      <c r="F495" s="40"/>
      <c r="G495" s="40"/>
      <c r="H495" s="40"/>
      <c r="I495" s="40"/>
    </row>
    <row r="496" spans="1:9">
      <c r="A496" s="40"/>
      <c r="B496" s="40"/>
      <c r="C496" s="40"/>
      <c r="D496" s="40"/>
      <c r="E496" s="40"/>
      <c r="F496" s="40"/>
      <c r="G496" s="40"/>
      <c r="H496" s="40"/>
      <c r="I496" s="40"/>
    </row>
    <row r="497" spans="1:9">
      <c r="A497" s="40"/>
      <c r="B497" s="40"/>
      <c r="C497" s="40"/>
      <c r="D497" s="40"/>
      <c r="E497" s="40"/>
      <c r="F497" s="40"/>
      <c r="G497" s="40"/>
      <c r="H497" s="40"/>
      <c r="I497" s="40"/>
    </row>
    <row r="498" spans="1:9">
      <c r="A498" s="40"/>
      <c r="B498" s="40"/>
      <c r="C498" s="40"/>
      <c r="D498" s="40"/>
      <c r="E498" s="40"/>
      <c r="F498" s="40"/>
      <c r="G498" s="40"/>
      <c r="H498" s="40"/>
      <c r="I498" s="40"/>
    </row>
    <row r="499" spans="1:9">
      <c r="A499" s="40"/>
      <c r="B499" s="40"/>
      <c r="C499" s="40"/>
      <c r="D499" s="40"/>
      <c r="E499" s="40"/>
      <c r="F499" s="40"/>
      <c r="G499" s="40"/>
      <c r="H499" s="40"/>
      <c r="I499" s="40"/>
    </row>
    <row r="500" spans="1:9">
      <c r="A500" s="40"/>
      <c r="B500" s="40"/>
      <c r="C500" s="40"/>
      <c r="D500" s="40"/>
      <c r="E500" s="40"/>
      <c r="F500" s="40"/>
      <c r="G500" s="40"/>
      <c r="H500" s="40"/>
      <c r="I500" s="40"/>
    </row>
    <row r="501" spans="1:9">
      <c r="A501" s="40"/>
      <c r="B501" s="40"/>
      <c r="C501" s="40"/>
      <c r="D501" s="40"/>
      <c r="E501" s="40"/>
      <c r="F501" s="40"/>
      <c r="G501" s="40"/>
      <c r="H501" s="40"/>
      <c r="I501" s="40"/>
    </row>
    <row r="502" spans="1:9">
      <c r="A502" s="40"/>
      <c r="B502" s="40"/>
      <c r="C502" s="40"/>
      <c r="D502" s="40"/>
      <c r="E502" s="40"/>
      <c r="F502" s="40"/>
      <c r="G502" s="40"/>
      <c r="H502" s="40"/>
      <c r="I502" s="40"/>
    </row>
    <row r="503" spans="1:9">
      <c r="A503" s="40"/>
      <c r="B503" s="40"/>
      <c r="C503" s="40"/>
      <c r="D503" s="40"/>
      <c r="E503" s="40"/>
      <c r="F503" s="40"/>
      <c r="G503" s="40"/>
      <c r="H503" s="40"/>
      <c r="I503" s="40"/>
    </row>
    <row r="504" spans="1:9">
      <c r="A504" s="40"/>
      <c r="B504" s="40"/>
      <c r="C504" s="40"/>
      <c r="D504" s="40"/>
      <c r="E504" s="40"/>
      <c r="F504" s="40"/>
      <c r="G504" s="40"/>
      <c r="H504" s="40"/>
      <c r="I504" s="40"/>
    </row>
    <row r="505" spans="1:9">
      <c r="A505" s="40"/>
      <c r="B505" s="40"/>
      <c r="C505" s="40"/>
      <c r="D505" s="40"/>
      <c r="E505" s="40"/>
      <c r="F505" s="40"/>
      <c r="G505" s="40"/>
      <c r="H505" s="40"/>
      <c r="I505" s="40"/>
    </row>
    <row r="506" spans="1:9">
      <c r="A506" s="40"/>
      <c r="B506" s="40"/>
      <c r="C506" s="40"/>
      <c r="D506" s="40"/>
      <c r="E506" s="40"/>
      <c r="F506" s="40"/>
      <c r="G506" s="40"/>
      <c r="H506" s="40"/>
      <c r="I506" s="40"/>
    </row>
    <row r="507" spans="1:9">
      <c r="A507" s="40"/>
      <c r="B507" s="40"/>
      <c r="C507" s="40"/>
      <c r="D507" s="40"/>
      <c r="E507" s="40"/>
      <c r="F507" s="40"/>
      <c r="G507" s="40"/>
      <c r="H507" s="40"/>
      <c r="I507" s="40"/>
    </row>
    <row r="508" spans="1:9">
      <c r="A508" s="40"/>
      <c r="B508" s="40"/>
      <c r="C508" s="40"/>
      <c r="D508" s="40"/>
      <c r="E508" s="40"/>
      <c r="F508" s="40"/>
      <c r="G508" s="40"/>
      <c r="H508" s="40"/>
      <c r="I508" s="40"/>
    </row>
    <row r="509" spans="1:9">
      <c r="A509" s="40"/>
      <c r="B509" s="40"/>
      <c r="C509" s="40"/>
      <c r="D509" s="40"/>
      <c r="E509" s="40"/>
      <c r="F509" s="40"/>
      <c r="G509" s="40"/>
      <c r="H509" s="40"/>
      <c r="I509" s="40"/>
    </row>
    <row r="510" spans="1:9">
      <c r="A510" s="40"/>
      <c r="B510" s="40"/>
      <c r="C510" s="40"/>
      <c r="D510" s="40"/>
      <c r="E510" s="40"/>
      <c r="F510" s="40"/>
      <c r="G510" s="40"/>
      <c r="H510" s="40"/>
      <c r="I510" s="40"/>
    </row>
    <row r="511" spans="1:9">
      <c r="A511" s="40"/>
      <c r="B511" s="40"/>
      <c r="C511" s="40"/>
      <c r="D511" s="40"/>
      <c r="E511" s="40"/>
      <c r="F511" s="40"/>
      <c r="G511" s="40"/>
      <c r="H511" s="40"/>
      <c r="I511" s="40"/>
    </row>
    <row r="512" spans="1:9">
      <c r="A512" s="40"/>
      <c r="B512" s="40"/>
      <c r="C512" s="40"/>
      <c r="D512" s="40"/>
      <c r="E512" s="40"/>
      <c r="F512" s="40"/>
      <c r="G512" s="40"/>
      <c r="H512" s="40"/>
      <c r="I512" s="40"/>
    </row>
    <row r="513" spans="1:9">
      <c r="A513" s="40"/>
      <c r="B513" s="40"/>
      <c r="C513" s="40"/>
      <c r="D513" s="40"/>
      <c r="E513" s="40"/>
      <c r="F513" s="40"/>
      <c r="G513" s="40"/>
      <c r="H513" s="40"/>
      <c r="I513" s="40"/>
    </row>
    <row r="514" spans="1:9">
      <c r="A514" s="40"/>
      <c r="B514" s="40"/>
      <c r="C514" s="40"/>
      <c r="D514" s="40"/>
      <c r="E514" s="40"/>
      <c r="F514" s="40"/>
      <c r="G514" s="40"/>
      <c r="H514" s="40"/>
      <c r="I514" s="40"/>
    </row>
    <row r="515" spans="1:9">
      <c r="A515" s="40"/>
      <c r="B515" s="40"/>
      <c r="C515" s="40"/>
      <c r="D515" s="40"/>
      <c r="E515" s="40"/>
      <c r="F515" s="40"/>
      <c r="G515" s="40"/>
      <c r="H515" s="40"/>
      <c r="I515" s="40"/>
    </row>
    <row r="516" spans="1:9">
      <c r="A516" s="40"/>
      <c r="B516" s="40"/>
      <c r="C516" s="40"/>
      <c r="D516" s="40"/>
      <c r="E516" s="40"/>
      <c r="F516" s="40"/>
      <c r="G516" s="40"/>
      <c r="H516" s="40"/>
      <c r="I516" s="40"/>
    </row>
    <row r="517" spans="1:9">
      <c r="A517" s="40"/>
      <c r="B517" s="40"/>
      <c r="C517" s="40"/>
      <c r="D517" s="40"/>
      <c r="E517" s="40"/>
      <c r="F517" s="40"/>
      <c r="G517" s="40"/>
      <c r="H517" s="40"/>
      <c r="I517" s="40"/>
    </row>
    <row r="518" spans="1:9">
      <c r="A518" s="40"/>
      <c r="B518" s="40"/>
      <c r="C518" s="40"/>
      <c r="D518" s="40"/>
      <c r="E518" s="40"/>
      <c r="F518" s="40"/>
      <c r="G518" s="40"/>
      <c r="H518" s="40"/>
      <c r="I518" s="40"/>
    </row>
    <row r="519" spans="1:9">
      <c r="A519" s="40"/>
      <c r="B519" s="40"/>
      <c r="C519" s="40"/>
      <c r="D519" s="40"/>
      <c r="E519" s="40"/>
      <c r="F519" s="40"/>
      <c r="G519" s="40"/>
      <c r="H519" s="40"/>
      <c r="I519" s="40"/>
    </row>
    <row r="520" spans="1:9">
      <c r="A520" s="40"/>
      <c r="B520" s="40"/>
      <c r="C520" s="40"/>
      <c r="D520" s="40"/>
      <c r="E520" s="40"/>
      <c r="F520" s="40"/>
      <c r="G520" s="40"/>
      <c r="H520" s="40"/>
      <c r="I520" s="40"/>
    </row>
    <row r="521" spans="1:9">
      <c r="A521" s="40"/>
      <c r="B521" s="40"/>
      <c r="C521" s="40"/>
      <c r="D521" s="40"/>
      <c r="E521" s="40"/>
      <c r="F521" s="40"/>
      <c r="G521" s="40"/>
      <c r="H521" s="40"/>
      <c r="I521" s="40"/>
    </row>
    <row r="522" spans="1:9">
      <c r="A522" s="40"/>
      <c r="B522" s="40"/>
      <c r="C522" s="40"/>
      <c r="D522" s="40"/>
      <c r="E522" s="40"/>
      <c r="F522" s="40"/>
      <c r="G522" s="40"/>
      <c r="H522" s="40"/>
      <c r="I522" s="40"/>
    </row>
    <row r="523" spans="1:9">
      <c r="A523" s="40"/>
      <c r="B523" s="40"/>
      <c r="C523" s="40"/>
      <c r="D523" s="40"/>
      <c r="E523" s="40"/>
      <c r="F523" s="40"/>
      <c r="G523" s="40"/>
      <c r="H523" s="40"/>
      <c r="I523" s="40"/>
    </row>
    <row r="524" spans="1:9">
      <c r="A524" s="40"/>
      <c r="B524" s="40"/>
      <c r="C524" s="40"/>
      <c r="D524" s="40"/>
      <c r="E524" s="40"/>
      <c r="F524" s="40"/>
      <c r="G524" s="40"/>
      <c r="H524" s="40"/>
      <c r="I524" s="40"/>
    </row>
    <row r="525" spans="1:9">
      <c r="A525" s="40"/>
      <c r="B525" s="40"/>
      <c r="C525" s="40"/>
      <c r="D525" s="40"/>
      <c r="E525" s="40"/>
      <c r="F525" s="40"/>
      <c r="G525" s="40"/>
      <c r="H525" s="40"/>
      <c r="I525" s="40"/>
    </row>
    <row r="526" spans="1:9">
      <c r="A526" s="40"/>
      <c r="B526" s="40"/>
      <c r="C526" s="40"/>
      <c r="D526" s="40"/>
      <c r="E526" s="40"/>
      <c r="F526" s="40"/>
      <c r="G526" s="40"/>
      <c r="H526" s="40"/>
      <c r="I526" s="40"/>
    </row>
    <row r="527" spans="1:9">
      <c r="A527" s="40"/>
      <c r="B527" s="40"/>
      <c r="C527" s="40"/>
      <c r="D527" s="40"/>
      <c r="E527" s="40"/>
      <c r="F527" s="40"/>
      <c r="G527" s="40"/>
      <c r="H527" s="40"/>
      <c r="I527" s="40"/>
    </row>
    <row r="528" spans="1:9">
      <c r="A528" s="40"/>
      <c r="B528" s="40"/>
      <c r="C528" s="40"/>
      <c r="D528" s="40"/>
      <c r="E528" s="40"/>
      <c r="F528" s="40"/>
      <c r="G528" s="40"/>
      <c r="H528" s="40"/>
      <c r="I528" s="40"/>
    </row>
    <row r="529" spans="1:9">
      <c r="A529" s="40"/>
      <c r="B529" s="40"/>
      <c r="C529" s="40"/>
      <c r="D529" s="40"/>
      <c r="E529" s="40"/>
      <c r="F529" s="40"/>
      <c r="G529" s="40"/>
      <c r="H529" s="40"/>
      <c r="I529" s="40"/>
    </row>
    <row r="530" spans="1:9">
      <c r="A530" s="40"/>
      <c r="B530" s="40"/>
      <c r="C530" s="40"/>
      <c r="D530" s="40"/>
      <c r="E530" s="40"/>
      <c r="F530" s="40"/>
      <c r="G530" s="40"/>
      <c r="H530" s="40"/>
      <c r="I530" s="40"/>
    </row>
    <row r="531" spans="1:9">
      <c r="A531" s="40"/>
      <c r="B531" s="40"/>
      <c r="C531" s="40"/>
      <c r="D531" s="40"/>
      <c r="E531" s="40"/>
      <c r="F531" s="40"/>
      <c r="G531" s="40"/>
      <c r="H531" s="40"/>
      <c r="I531" s="40"/>
    </row>
    <row r="532" spans="1:9">
      <c r="A532" s="40"/>
      <c r="B532" s="40"/>
      <c r="C532" s="40"/>
      <c r="D532" s="40"/>
      <c r="E532" s="40"/>
      <c r="F532" s="40"/>
      <c r="G532" s="40"/>
      <c r="H532" s="40"/>
      <c r="I532" s="40"/>
    </row>
    <row r="533" spans="1:9">
      <c r="A533" s="40"/>
      <c r="B533" s="40"/>
      <c r="C533" s="40"/>
      <c r="D533" s="40"/>
      <c r="E533" s="40"/>
      <c r="F533" s="40"/>
      <c r="G533" s="40"/>
      <c r="H533" s="40"/>
      <c r="I533" s="40"/>
    </row>
    <row r="534" spans="1:9">
      <c r="A534" s="40"/>
      <c r="B534" s="40"/>
      <c r="C534" s="40"/>
      <c r="D534" s="40"/>
      <c r="E534" s="40"/>
      <c r="F534" s="40"/>
      <c r="G534" s="40"/>
      <c r="H534" s="40"/>
      <c r="I534" s="40"/>
    </row>
    <row r="535" spans="1:9">
      <c r="A535" s="40"/>
      <c r="B535" s="40"/>
      <c r="C535" s="40"/>
      <c r="D535" s="40"/>
      <c r="E535" s="40"/>
      <c r="F535" s="40"/>
      <c r="G535" s="40"/>
      <c r="H535" s="40"/>
      <c r="I535" s="40"/>
    </row>
    <row r="536" spans="1:9">
      <c r="A536" s="40"/>
      <c r="B536" s="40"/>
      <c r="C536" s="40"/>
      <c r="D536" s="40"/>
      <c r="E536" s="40"/>
      <c r="F536" s="40"/>
      <c r="G536" s="40"/>
      <c r="H536" s="40"/>
      <c r="I536" s="40"/>
    </row>
    <row r="537" spans="1:9">
      <c r="A537" s="40"/>
      <c r="B537" s="40"/>
      <c r="C537" s="40"/>
      <c r="D537" s="40"/>
      <c r="E537" s="40"/>
      <c r="F537" s="40"/>
      <c r="G537" s="40"/>
      <c r="H537" s="40"/>
      <c r="I537" s="40"/>
    </row>
    <row r="538" spans="1:9">
      <c r="A538" s="40"/>
      <c r="B538" s="40"/>
      <c r="C538" s="40"/>
      <c r="D538" s="40"/>
      <c r="E538" s="40"/>
      <c r="F538" s="40"/>
      <c r="G538" s="40"/>
      <c r="H538" s="40"/>
      <c r="I538" s="40"/>
    </row>
    <row r="539" spans="1:9">
      <c r="A539" s="40"/>
      <c r="B539" s="40"/>
      <c r="C539" s="40"/>
      <c r="D539" s="40"/>
      <c r="E539" s="40"/>
      <c r="F539" s="40"/>
      <c r="G539" s="40"/>
      <c r="H539" s="40"/>
      <c r="I539" s="40"/>
    </row>
    <row r="540" spans="1:9">
      <c r="A540" s="40"/>
      <c r="B540" s="40"/>
      <c r="C540" s="40"/>
      <c r="D540" s="40"/>
      <c r="E540" s="40"/>
      <c r="F540" s="40"/>
      <c r="G540" s="40"/>
      <c r="H540" s="40"/>
      <c r="I540" s="40"/>
    </row>
    <row r="541" spans="1:9">
      <c r="A541" s="40"/>
      <c r="B541" s="40"/>
      <c r="C541" s="40"/>
      <c r="D541" s="40"/>
      <c r="E541" s="40"/>
      <c r="F541" s="40"/>
      <c r="G541" s="40"/>
      <c r="H541" s="40"/>
      <c r="I541" s="40"/>
    </row>
    <row r="542" spans="1:9">
      <c r="A542" s="40"/>
      <c r="B542" s="40"/>
      <c r="C542" s="40"/>
      <c r="D542" s="40"/>
      <c r="E542" s="40"/>
      <c r="F542" s="40"/>
      <c r="G542" s="40"/>
      <c r="H542" s="40"/>
      <c r="I542" s="40"/>
    </row>
    <row r="543" spans="1:9">
      <c r="A543" s="40"/>
      <c r="B543" s="40"/>
      <c r="C543" s="40"/>
      <c r="D543" s="40"/>
      <c r="E543" s="40"/>
      <c r="F543" s="40"/>
      <c r="G543" s="40"/>
      <c r="H543" s="40"/>
      <c r="I543" s="40"/>
    </row>
    <row r="544" spans="1:9">
      <c r="A544" s="40"/>
      <c r="B544" s="40"/>
      <c r="C544" s="40"/>
      <c r="D544" s="40"/>
      <c r="E544" s="40"/>
      <c r="F544" s="40"/>
      <c r="G544" s="40"/>
      <c r="H544" s="40"/>
      <c r="I544" s="40"/>
    </row>
    <row r="545" spans="1:9">
      <c r="A545" s="40"/>
      <c r="B545" s="40"/>
      <c r="C545" s="40"/>
      <c r="D545" s="40"/>
      <c r="E545" s="40"/>
      <c r="F545" s="40"/>
      <c r="G545" s="40"/>
      <c r="H545" s="40"/>
      <c r="I545" s="40"/>
    </row>
    <row r="546" spans="1:9">
      <c r="A546" s="40"/>
      <c r="B546" s="40"/>
      <c r="C546" s="40"/>
      <c r="D546" s="40"/>
      <c r="E546" s="40"/>
      <c r="F546" s="40"/>
      <c r="G546" s="40"/>
      <c r="H546" s="40"/>
      <c r="I546" s="40"/>
    </row>
    <row r="547" spans="1:9">
      <c r="A547" s="40"/>
      <c r="B547" s="40"/>
      <c r="C547" s="40"/>
      <c r="D547" s="40"/>
      <c r="E547" s="40"/>
      <c r="F547" s="40"/>
      <c r="G547" s="40"/>
      <c r="H547" s="40"/>
      <c r="I547" s="40"/>
    </row>
    <row r="548" spans="1:9">
      <c r="A548" s="40"/>
      <c r="B548" s="40"/>
      <c r="C548" s="40"/>
      <c r="D548" s="40"/>
      <c r="E548" s="40"/>
      <c r="F548" s="40"/>
      <c r="G548" s="40"/>
      <c r="H548" s="40"/>
      <c r="I548" s="40"/>
    </row>
    <row r="549" spans="1:9">
      <c r="A549" s="40"/>
      <c r="B549" s="40"/>
      <c r="C549" s="40"/>
      <c r="D549" s="40"/>
      <c r="E549" s="40"/>
      <c r="F549" s="40"/>
      <c r="G549" s="40"/>
      <c r="H549" s="40"/>
      <c r="I549" s="40"/>
    </row>
    <row r="550" spans="1:9">
      <c r="A550" s="40"/>
      <c r="B550" s="40"/>
      <c r="C550" s="40"/>
      <c r="D550" s="40"/>
      <c r="E550" s="40"/>
      <c r="F550" s="40"/>
      <c r="G550" s="40"/>
      <c r="H550" s="40"/>
      <c r="I550" s="40"/>
    </row>
    <row r="551" spans="1:9">
      <c r="A551" s="40"/>
      <c r="B551" s="40"/>
      <c r="C551" s="40"/>
      <c r="D551" s="40"/>
      <c r="E551" s="40"/>
      <c r="F551" s="40"/>
      <c r="G551" s="40"/>
      <c r="H551" s="40"/>
      <c r="I551" s="40"/>
    </row>
    <row r="552" spans="1:9">
      <c r="A552" s="40"/>
      <c r="B552" s="40"/>
      <c r="C552" s="40"/>
      <c r="D552" s="40"/>
      <c r="E552" s="40"/>
      <c r="F552" s="40"/>
      <c r="G552" s="40"/>
      <c r="H552" s="40"/>
      <c r="I552" s="40"/>
    </row>
    <row r="553" spans="1:9">
      <c r="A553" s="40"/>
      <c r="B553" s="40"/>
      <c r="C553" s="40"/>
      <c r="D553" s="40"/>
      <c r="E553" s="40"/>
      <c r="F553" s="40"/>
      <c r="G553" s="40"/>
      <c r="H553" s="40"/>
      <c r="I553" s="40"/>
    </row>
    <row r="554" spans="1:9">
      <c r="A554" s="40"/>
      <c r="B554" s="40"/>
      <c r="C554" s="40"/>
      <c r="D554" s="40"/>
      <c r="E554" s="40"/>
      <c r="F554" s="40"/>
      <c r="G554" s="40"/>
      <c r="H554" s="40"/>
      <c r="I554" s="40"/>
    </row>
    <row r="555" spans="1:9">
      <c r="A555" s="40"/>
      <c r="B555" s="40"/>
      <c r="C555" s="40"/>
      <c r="D555" s="40"/>
      <c r="E555" s="40"/>
      <c r="F555" s="40"/>
      <c r="G555" s="40"/>
      <c r="H555" s="40"/>
      <c r="I555" s="40"/>
    </row>
    <row r="556" spans="1:9">
      <c r="A556" s="40"/>
      <c r="B556" s="40"/>
      <c r="C556" s="40"/>
      <c r="D556" s="40"/>
      <c r="E556" s="40"/>
      <c r="F556" s="40"/>
      <c r="G556" s="40"/>
      <c r="H556" s="40"/>
      <c r="I556" s="40"/>
    </row>
    <row r="557" spans="1:9">
      <c r="A557" s="40"/>
      <c r="B557" s="40"/>
      <c r="C557" s="40"/>
      <c r="D557" s="40"/>
      <c r="E557" s="40"/>
      <c r="F557" s="40"/>
      <c r="G557" s="40"/>
      <c r="H557" s="40"/>
      <c r="I557" s="40"/>
    </row>
    <row r="558" spans="1:9">
      <c r="A558" s="40"/>
      <c r="B558" s="40"/>
      <c r="C558" s="40"/>
      <c r="D558" s="40"/>
      <c r="E558" s="40"/>
      <c r="F558" s="40"/>
      <c r="G558" s="40"/>
      <c r="H558" s="40"/>
      <c r="I558" s="40"/>
    </row>
    <row r="559" spans="1:9">
      <c r="A559" s="40"/>
      <c r="B559" s="40"/>
      <c r="C559" s="40"/>
      <c r="D559" s="40"/>
      <c r="E559" s="40"/>
      <c r="F559" s="40"/>
      <c r="G559" s="40"/>
      <c r="H559" s="40"/>
      <c r="I559" s="40"/>
    </row>
    <row r="560" spans="1:9">
      <c r="A560" s="40"/>
      <c r="B560" s="40"/>
      <c r="C560" s="40"/>
      <c r="D560" s="40"/>
      <c r="E560" s="40"/>
      <c r="F560" s="40"/>
      <c r="G560" s="40"/>
      <c r="H560" s="40"/>
      <c r="I560" s="40"/>
    </row>
    <row r="561" spans="1:9">
      <c r="A561" s="40"/>
      <c r="B561" s="40"/>
      <c r="C561" s="40"/>
      <c r="D561" s="40"/>
      <c r="E561" s="40"/>
      <c r="F561" s="40"/>
      <c r="G561" s="40"/>
      <c r="H561" s="40"/>
      <c r="I561" s="40"/>
    </row>
    <row r="562" spans="1:9">
      <c r="A562" s="40"/>
      <c r="B562" s="40"/>
      <c r="C562" s="40"/>
      <c r="D562" s="40"/>
      <c r="E562" s="40"/>
      <c r="F562" s="40"/>
      <c r="G562" s="40"/>
      <c r="H562" s="40"/>
      <c r="I562" s="40"/>
    </row>
    <row r="563" spans="1:9">
      <c r="A563" s="40"/>
      <c r="B563" s="40"/>
      <c r="C563" s="40"/>
      <c r="D563" s="40"/>
      <c r="E563" s="40"/>
      <c r="F563" s="40"/>
      <c r="G563" s="40"/>
      <c r="H563" s="40"/>
      <c r="I563" s="40"/>
    </row>
    <row r="564" spans="1:9">
      <c r="A564" s="40"/>
      <c r="B564" s="40"/>
      <c r="C564" s="40"/>
      <c r="D564" s="40"/>
      <c r="E564" s="40"/>
      <c r="F564" s="40"/>
      <c r="G564" s="40"/>
      <c r="H564" s="40"/>
      <c r="I564" s="40"/>
    </row>
    <row r="565" spans="1:9">
      <c r="A565" s="40"/>
      <c r="B565" s="40"/>
      <c r="C565" s="40"/>
      <c r="D565" s="40"/>
      <c r="E565" s="40"/>
      <c r="F565" s="40"/>
      <c r="G565" s="40"/>
      <c r="H565" s="40"/>
      <c r="I565" s="40"/>
    </row>
    <row r="566" spans="1:9">
      <c r="A566" s="40"/>
      <c r="B566" s="40"/>
      <c r="C566" s="40"/>
      <c r="D566" s="40"/>
      <c r="E566" s="40"/>
      <c r="F566" s="40"/>
      <c r="G566" s="40"/>
      <c r="H566" s="40"/>
      <c r="I566" s="40"/>
    </row>
    <row r="567" spans="1:9">
      <c r="A567" s="40"/>
      <c r="B567" s="40"/>
      <c r="C567" s="40"/>
      <c r="D567" s="40"/>
      <c r="E567" s="40"/>
      <c r="F567" s="40"/>
      <c r="G567" s="40"/>
      <c r="H567" s="40"/>
      <c r="I567" s="40"/>
    </row>
    <row r="568" spans="1:9">
      <c r="A568" s="40"/>
      <c r="B568" s="40"/>
      <c r="C568" s="40"/>
      <c r="D568" s="40"/>
      <c r="E568" s="40"/>
      <c r="F568" s="40"/>
      <c r="G568" s="40"/>
      <c r="H568" s="40"/>
      <c r="I568" s="40"/>
    </row>
    <row r="569" spans="1:9">
      <c r="A569" s="40"/>
      <c r="B569" s="40"/>
      <c r="C569" s="40"/>
      <c r="D569" s="40"/>
      <c r="E569" s="40"/>
      <c r="F569" s="40"/>
      <c r="G569" s="40"/>
      <c r="H569" s="40"/>
      <c r="I569" s="40"/>
    </row>
    <row r="570" spans="1:9">
      <c r="A570" s="40"/>
      <c r="B570" s="40"/>
      <c r="C570" s="40"/>
      <c r="D570" s="40"/>
      <c r="E570" s="40"/>
      <c r="F570" s="40"/>
      <c r="G570" s="40"/>
      <c r="H570" s="40"/>
      <c r="I570" s="40"/>
    </row>
    <row r="571" spans="1:9">
      <c r="A571" s="40"/>
      <c r="B571" s="40"/>
      <c r="C571" s="40"/>
      <c r="D571" s="40"/>
      <c r="E571" s="40"/>
      <c r="F571" s="40"/>
      <c r="G571" s="40"/>
      <c r="H571" s="40"/>
      <c r="I571" s="40"/>
    </row>
    <row r="572" spans="1:9">
      <c r="A572" s="40"/>
      <c r="B572" s="40"/>
      <c r="C572" s="40"/>
      <c r="D572" s="40"/>
      <c r="E572" s="40"/>
      <c r="F572" s="40"/>
      <c r="G572" s="40"/>
      <c r="H572" s="40"/>
      <c r="I572" s="40"/>
    </row>
    <row r="573" spans="1:9">
      <c r="A573" s="40"/>
      <c r="B573" s="40"/>
      <c r="C573" s="40"/>
      <c r="D573" s="40"/>
      <c r="E573" s="40"/>
      <c r="F573" s="40"/>
      <c r="G573" s="40"/>
      <c r="H573" s="40"/>
      <c r="I573" s="40"/>
    </row>
    <row r="574" spans="1:9">
      <c r="A574" s="40"/>
      <c r="B574" s="40"/>
      <c r="C574" s="40"/>
      <c r="D574" s="40"/>
      <c r="E574" s="40"/>
      <c r="F574" s="40"/>
      <c r="G574" s="40"/>
      <c r="H574" s="40"/>
      <c r="I574" s="40"/>
    </row>
    <row r="575" spans="1:9">
      <c r="A575" s="40"/>
      <c r="B575" s="40"/>
      <c r="C575" s="40"/>
      <c r="D575" s="40"/>
      <c r="E575" s="40"/>
      <c r="F575" s="40"/>
      <c r="G575" s="40"/>
      <c r="H575" s="40"/>
      <c r="I575" s="40"/>
    </row>
    <row r="576" spans="1:9">
      <c r="A576" s="40"/>
      <c r="B576" s="40"/>
      <c r="C576" s="40"/>
      <c r="D576" s="40"/>
      <c r="E576" s="40"/>
      <c r="F576" s="40"/>
      <c r="G576" s="40"/>
      <c r="H576" s="40"/>
      <c r="I576" s="40"/>
    </row>
    <row r="577" spans="1:9">
      <c r="A577" s="40"/>
      <c r="B577" s="40"/>
      <c r="C577" s="40"/>
      <c r="D577" s="40"/>
      <c r="E577" s="40"/>
      <c r="F577" s="40"/>
      <c r="G577" s="40"/>
      <c r="H577" s="40"/>
      <c r="I577" s="40"/>
    </row>
    <row r="578" spans="1:9">
      <c r="A578" s="40"/>
      <c r="B578" s="40"/>
      <c r="C578" s="40"/>
      <c r="D578" s="40"/>
      <c r="E578" s="40"/>
      <c r="F578" s="40"/>
      <c r="G578" s="40"/>
      <c r="H578" s="40"/>
      <c r="I578" s="40"/>
    </row>
    <row r="579" spans="1:9">
      <c r="A579" s="40"/>
      <c r="B579" s="40"/>
      <c r="C579" s="40"/>
      <c r="D579" s="40"/>
      <c r="E579" s="40"/>
      <c r="F579" s="40"/>
      <c r="G579" s="40"/>
      <c r="H579" s="40"/>
      <c r="I579" s="40"/>
    </row>
    <row r="580" spans="1:9">
      <c r="A580" s="40"/>
      <c r="B580" s="40"/>
      <c r="C580" s="40"/>
      <c r="D580" s="40"/>
      <c r="E580" s="40"/>
      <c r="F580" s="40"/>
      <c r="G580" s="40"/>
      <c r="H580" s="40"/>
      <c r="I580" s="40"/>
    </row>
    <row r="581" spans="1:9">
      <c r="A581" s="40"/>
      <c r="B581" s="40"/>
      <c r="C581" s="40"/>
      <c r="D581" s="40"/>
      <c r="E581" s="40"/>
      <c r="F581" s="40"/>
      <c r="G581" s="40"/>
      <c r="H581" s="40"/>
      <c r="I581" s="40"/>
    </row>
    <row r="582" spans="1:9">
      <c r="A582" s="40"/>
      <c r="B582" s="40"/>
      <c r="C582" s="40"/>
      <c r="D582" s="40"/>
      <c r="E582" s="40"/>
      <c r="F582" s="40"/>
      <c r="G582" s="40"/>
      <c r="H582" s="40"/>
      <c r="I582" s="40"/>
    </row>
    <row r="583" spans="1:9">
      <c r="A583" s="40"/>
      <c r="B583" s="40"/>
      <c r="C583" s="40"/>
      <c r="D583" s="40"/>
      <c r="E583" s="40"/>
      <c r="F583" s="40"/>
      <c r="G583" s="40"/>
      <c r="H583" s="40"/>
      <c r="I583" s="40"/>
    </row>
    <row r="584" spans="1:9">
      <c r="A584" s="40"/>
      <c r="B584" s="40"/>
      <c r="C584" s="40"/>
      <c r="D584" s="40"/>
      <c r="E584" s="40"/>
      <c r="F584" s="40"/>
      <c r="G584" s="40"/>
      <c r="H584" s="40"/>
      <c r="I584" s="40"/>
    </row>
    <row r="585" spans="1:9">
      <c r="A585" s="40"/>
      <c r="B585" s="40"/>
      <c r="C585" s="40"/>
      <c r="D585" s="40"/>
      <c r="E585" s="40"/>
      <c r="F585" s="40"/>
      <c r="G585" s="40"/>
      <c r="H585" s="40"/>
      <c r="I585" s="40"/>
    </row>
    <row r="586" spans="1:9">
      <c r="A586" s="40"/>
      <c r="B586" s="40"/>
      <c r="C586" s="40"/>
      <c r="D586" s="40"/>
      <c r="E586" s="40"/>
      <c r="F586" s="40"/>
      <c r="G586" s="40"/>
      <c r="H586" s="40"/>
      <c r="I586" s="40"/>
    </row>
    <row r="587" spans="1:9">
      <c r="A587" s="40"/>
      <c r="B587" s="40"/>
      <c r="C587" s="40"/>
      <c r="D587" s="40"/>
      <c r="E587" s="40"/>
      <c r="F587" s="40"/>
      <c r="G587" s="40"/>
      <c r="H587" s="40"/>
      <c r="I587" s="40"/>
    </row>
    <row r="588" spans="1:9">
      <c r="A588" s="40"/>
      <c r="B588" s="40"/>
      <c r="C588" s="40"/>
      <c r="D588" s="40"/>
      <c r="E588" s="40"/>
      <c r="F588" s="40"/>
      <c r="G588" s="40"/>
      <c r="H588" s="40"/>
      <c r="I588" s="40"/>
    </row>
    <row r="589" spans="1:9">
      <c r="A589" s="40"/>
      <c r="B589" s="40"/>
      <c r="C589" s="40"/>
      <c r="D589" s="40"/>
      <c r="E589" s="40"/>
      <c r="F589" s="40"/>
      <c r="G589" s="40"/>
      <c r="H589" s="40"/>
      <c r="I589" s="40"/>
    </row>
    <row r="590" spans="1:9">
      <c r="A590" s="40"/>
      <c r="B590" s="40"/>
      <c r="C590" s="40"/>
      <c r="D590" s="40"/>
      <c r="E590" s="40"/>
      <c r="F590" s="40"/>
      <c r="G590" s="40"/>
      <c r="H590" s="40"/>
      <c r="I590" s="40"/>
    </row>
    <row r="591" spans="1:9">
      <c r="A591" s="40"/>
      <c r="B591" s="40"/>
      <c r="C591" s="40"/>
      <c r="D591" s="40"/>
      <c r="E591" s="40"/>
      <c r="F591" s="40"/>
      <c r="G591" s="40"/>
      <c r="H591" s="40"/>
      <c r="I591" s="40"/>
    </row>
    <row r="592" spans="1:9">
      <c r="A592" s="40"/>
      <c r="B592" s="40"/>
      <c r="C592" s="40"/>
      <c r="D592" s="40"/>
      <c r="E592" s="40"/>
      <c r="F592" s="40"/>
      <c r="G592" s="40"/>
      <c r="H592" s="40"/>
      <c r="I592" s="40"/>
    </row>
    <row r="593" spans="1:9">
      <c r="A593" s="40"/>
      <c r="B593" s="40"/>
      <c r="C593" s="40"/>
      <c r="D593" s="40"/>
      <c r="E593" s="40"/>
      <c r="F593" s="40"/>
      <c r="G593" s="40"/>
      <c r="H593" s="40"/>
      <c r="I593" s="40"/>
    </row>
    <row r="594" spans="1:9">
      <c r="A594" s="40"/>
      <c r="B594" s="40"/>
      <c r="C594" s="40"/>
      <c r="D594" s="40"/>
      <c r="E594" s="40"/>
      <c r="F594" s="40"/>
      <c r="G594" s="40"/>
      <c r="H594" s="40"/>
      <c r="I594" s="40"/>
    </row>
    <row r="595" spans="1:9">
      <c r="A595" s="40"/>
      <c r="B595" s="40"/>
      <c r="C595" s="40"/>
      <c r="D595" s="40"/>
      <c r="E595" s="40"/>
      <c r="F595" s="40"/>
      <c r="G595" s="40"/>
      <c r="H595" s="40"/>
      <c r="I595" s="40"/>
    </row>
    <row r="596" spans="1:9">
      <c r="A596" s="40"/>
      <c r="B596" s="40"/>
      <c r="C596" s="40"/>
      <c r="D596" s="40"/>
      <c r="E596" s="40"/>
      <c r="F596" s="40"/>
      <c r="G596" s="40"/>
      <c r="H596" s="40"/>
      <c r="I596" s="40"/>
    </row>
    <row r="597" spans="1:9">
      <c r="A597" s="40"/>
      <c r="B597" s="40"/>
      <c r="C597" s="40"/>
      <c r="D597" s="40"/>
      <c r="E597" s="40"/>
      <c r="F597" s="40"/>
      <c r="G597" s="40"/>
      <c r="H597" s="40"/>
      <c r="I597" s="40"/>
    </row>
    <row r="598" spans="1:9">
      <c r="A598" s="40"/>
      <c r="B598" s="40"/>
      <c r="C598" s="40"/>
      <c r="D598" s="40"/>
      <c r="E598" s="40"/>
      <c r="F598" s="40"/>
      <c r="G598" s="40"/>
      <c r="H598" s="40"/>
      <c r="I598" s="40"/>
    </row>
    <row r="599" spans="1:9">
      <c r="A599" s="40"/>
      <c r="B599" s="40"/>
      <c r="C599" s="40"/>
      <c r="D599" s="40"/>
      <c r="E599" s="40"/>
      <c r="F599" s="40"/>
      <c r="G599" s="40"/>
      <c r="H599" s="40"/>
      <c r="I599" s="40"/>
    </row>
    <row r="600" spans="1:9">
      <c r="A600" s="40"/>
      <c r="B600" s="40"/>
      <c r="C600" s="40"/>
      <c r="D600" s="40"/>
      <c r="E600" s="40"/>
      <c r="F600" s="40"/>
      <c r="G600" s="40"/>
      <c r="H600" s="40"/>
      <c r="I600" s="40"/>
    </row>
    <row r="601" spans="1:9">
      <c r="A601" s="40"/>
      <c r="B601" s="40"/>
      <c r="C601" s="40"/>
      <c r="D601" s="40"/>
      <c r="E601" s="40"/>
      <c r="F601" s="40"/>
      <c r="G601" s="40"/>
      <c r="H601" s="40"/>
      <c r="I601" s="40"/>
    </row>
    <row r="602" spans="1:9">
      <c r="A602" s="40"/>
      <c r="B602" s="40"/>
      <c r="C602" s="40"/>
      <c r="D602" s="40"/>
      <c r="E602" s="40"/>
      <c r="F602" s="40"/>
      <c r="G602" s="40"/>
      <c r="H602" s="40"/>
      <c r="I602" s="40"/>
    </row>
    <row r="603" spans="1:9">
      <c r="A603" s="40"/>
      <c r="B603" s="40"/>
      <c r="C603" s="40"/>
      <c r="D603" s="40"/>
      <c r="E603" s="40"/>
      <c r="F603" s="40"/>
      <c r="G603" s="40"/>
      <c r="H603" s="40"/>
      <c r="I603" s="40"/>
    </row>
    <row r="604" spans="1:9">
      <c r="A604" s="40"/>
      <c r="B604" s="40"/>
      <c r="C604" s="40"/>
      <c r="D604" s="40"/>
      <c r="E604" s="40"/>
      <c r="F604" s="40"/>
      <c r="G604" s="40"/>
      <c r="H604" s="40"/>
      <c r="I604" s="40"/>
    </row>
    <row r="605" spans="1:9">
      <c r="A605" s="40"/>
      <c r="B605" s="40"/>
      <c r="C605" s="40"/>
      <c r="D605" s="40"/>
      <c r="E605" s="40"/>
      <c r="F605" s="40"/>
      <c r="G605" s="40"/>
      <c r="H605" s="40"/>
      <c r="I605" s="40"/>
    </row>
    <row r="606" spans="1:9">
      <c r="A606" s="40"/>
      <c r="B606" s="40"/>
      <c r="C606" s="40"/>
      <c r="D606" s="40"/>
      <c r="E606" s="40"/>
      <c r="F606" s="40"/>
      <c r="G606" s="40"/>
      <c r="H606" s="40"/>
      <c r="I606" s="40"/>
    </row>
    <row r="607" spans="1:9">
      <c r="A607" s="40"/>
      <c r="B607" s="40"/>
      <c r="C607" s="40"/>
      <c r="D607" s="40"/>
      <c r="E607" s="40"/>
      <c r="F607" s="40"/>
      <c r="G607" s="40"/>
      <c r="H607" s="40"/>
      <c r="I607" s="40"/>
    </row>
    <row r="608" spans="1:9">
      <c r="A608" s="40"/>
      <c r="B608" s="40"/>
      <c r="C608" s="40"/>
      <c r="D608" s="40"/>
      <c r="E608" s="40"/>
      <c r="F608" s="40"/>
      <c r="G608" s="40"/>
      <c r="H608" s="40"/>
      <c r="I608" s="40"/>
    </row>
    <row r="609" spans="1:9">
      <c r="A609" s="40"/>
      <c r="B609" s="40"/>
      <c r="C609" s="40"/>
      <c r="D609" s="40"/>
      <c r="E609" s="40"/>
      <c r="F609" s="40"/>
      <c r="G609" s="40"/>
      <c r="H609" s="40"/>
      <c r="I609" s="40"/>
    </row>
    <row r="610" spans="1:9">
      <c r="A610" s="40"/>
      <c r="B610" s="40"/>
      <c r="C610" s="40"/>
      <c r="D610" s="40"/>
      <c r="E610" s="40"/>
      <c r="F610" s="40"/>
      <c r="G610" s="40"/>
      <c r="H610" s="40"/>
      <c r="I610" s="40"/>
    </row>
    <row r="611" spans="1:9">
      <c r="A611" s="40"/>
      <c r="B611" s="40"/>
      <c r="C611" s="40"/>
      <c r="D611" s="40"/>
      <c r="E611" s="40"/>
      <c r="F611" s="40"/>
      <c r="G611" s="40"/>
      <c r="H611" s="40"/>
      <c r="I611" s="40"/>
    </row>
    <row r="612" spans="1:9">
      <c r="A612" s="40"/>
      <c r="B612" s="40"/>
      <c r="C612" s="40"/>
      <c r="D612" s="40"/>
      <c r="E612" s="40"/>
      <c r="F612" s="40"/>
      <c r="G612" s="40"/>
      <c r="H612" s="40"/>
      <c r="I612" s="40"/>
    </row>
    <row r="613" spans="1:9">
      <c r="A613" s="40"/>
      <c r="B613" s="40"/>
      <c r="C613" s="40"/>
      <c r="D613" s="40"/>
      <c r="E613" s="40"/>
      <c r="F613" s="40"/>
      <c r="G613" s="40"/>
      <c r="H613" s="40"/>
      <c r="I613" s="40"/>
    </row>
    <row r="614" spans="1:9">
      <c r="A614" s="40"/>
      <c r="B614" s="40"/>
      <c r="C614" s="40"/>
      <c r="D614" s="40"/>
      <c r="E614" s="40"/>
      <c r="F614" s="40"/>
      <c r="G614" s="40"/>
      <c r="H614" s="40"/>
      <c r="I614" s="40"/>
    </row>
    <row r="615" spans="1:9">
      <c r="A615" s="40"/>
      <c r="B615" s="40"/>
      <c r="C615" s="40"/>
      <c r="D615" s="40"/>
      <c r="E615" s="40"/>
      <c r="F615" s="40"/>
      <c r="G615" s="40"/>
      <c r="H615" s="40"/>
      <c r="I615" s="40"/>
    </row>
    <row r="616" spans="1:9">
      <c r="A616" s="40"/>
      <c r="B616" s="40"/>
      <c r="C616" s="40"/>
      <c r="D616" s="40"/>
      <c r="E616" s="40"/>
      <c r="F616" s="40"/>
      <c r="G616" s="40"/>
      <c r="H616" s="40"/>
      <c r="I616" s="40"/>
    </row>
    <row r="617" spans="1:9">
      <c r="A617" s="40"/>
      <c r="B617" s="40"/>
      <c r="C617" s="40"/>
      <c r="D617" s="40"/>
      <c r="E617" s="40"/>
      <c r="F617" s="40"/>
      <c r="G617" s="40"/>
      <c r="H617" s="40"/>
      <c r="I617" s="40"/>
    </row>
    <row r="618" spans="1:9">
      <c r="A618" s="40"/>
      <c r="B618" s="40"/>
      <c r="C618" s="40"/>
      <c r="D618" s="40"/>
      <c r="E618" s="40"/>
      <c r="F618" s="40"/>
      <c r="G618" s="40"/>
      <c r="H618" s="40"/>
      <c r="I618" s="40"/>
    </row>
    <row r="619" spans="1:9">
      <c r="A619" s="40"/>
      <c r="B619" s="40"/>
      <c r="C619" s="40"/>
      <c r="D619" s="40"/>
      <c r="E619" s="40"/>
      <c r="F619" s="40"/>
      <c r="G619" s="40"/>
      <c r="H619" s="40"/>
      <c r="I619" s="40"/>
    </row>
    <row r="620" spans="1:9">
      <c r="A620" s="40"/>
      <c r="B620" s="40"/>
      <c r="C620" s="40"/>
      <c r="D620" s="40"/>
      <c r="E620" s="40"/>
      <c r="F620" s="40"/>
      <c r="G620" s="40"/>
      <c r="H620" s="40"/>
      <c r="I620" s="40"/>
    </row>
    <row r="621" spans="1:9">
      <c r="A621" s="40"/>
      <c r="B621" s="40"/>
      <c r="C621" s="40"/>
      <c r="D621" s="40"/>
      <c r="E621" s="40"/>
      <c r="F621" s="40"/>
      <c r="G621" s="40"/>
      <c r="H621" s="40"/>
      <c r="I621" s="40"/>
    </row>
    <row r="622" spans="1:9">
      <c r="A622" s="40"/>
      <c r="B622" s="40"/>
      <c r="C622" s="40"/>
      <c r="D622" s="40"/>
      <c r="E622" s="40"/>
      <c r="F622" s="40"/>
      <c r="G622" s="40"/>
      <c r="H622" s="40"/>
      <c r="I622" s="40"/>
    </row>
    <row r="623" spans="1:9">
      <c r="A623" s="40"/>
      <c r="B623" s="40"/>
      <c r="C623" s="40"/>
      <c r="D623" s="40"/>
      <c r="E623" s="40"/>
      <c r="F623" s="40"/>
      <c r="G623" s="40"/>
      <c r="H623" s="40"/>
      <c r="I623" s="40"/>
    </row>
    <row r="624" spans="1:9">
      <c r="A624" s="40"/>
      <c r="B624" s="40"/>
      <c r="C624" s="40"/>
      <c r="D624" s="40"/>
      <c r="E624" s="40"/>
      <c r="F624" s="40"/>
      <c r="G624" s="40"/>
      <c r="H624" s="40"/>
      <c r="I624" s="40"/>
    </row>
    <row r="625" spans="1:9">
      <c r="A625" s="40"/>
      <c r="B625" s="40"/>
      <c r="C625" s="40"/>
      <c r="D625" s="40"/>
      <c r="E625" s="40"/>
      <c r="F625" s="40"/>
      <c r="G625" s="40"/>
      <c r="H625" s="40"/>
      <c r="I625" s="40"/>
    </row>
    <row r="626" spans="1:9">
      <c r="A626" s="40"/>
      <c r="B626" s="40"/>
      <c r="C626" s="40"/>
      <c r="D626" s="40"/>
      <c r="E626" s="40"/>
      <c r="F626" s="40"/>
      <c r="G626" s="40"/>
      <c r="H626" s="40"/>
      <c r="I626" s="40"/>
    </row>
    <row r="627" spans="1:9">
      <c r="A627" s="40"/>
      <c r="B627" s="40"/>
      <c r="C627" s="40"/>
      <c r="D627" s="40"/>
      <c r="E627" s="40"/>
      <c r="F627" s="40"/>
      <c r="G627" s="40"/>
      <c r="H627" s="40"/>
      <c r="I627" s="40"/>
    </row>
    <row r="628" spans="1:9">
      <c r="A628" s="40"/>
      <c r="B628" s="40"/>
      <c r="C628" s="40"/>
      <c r="D628" s="40"/>
      <c r="E628" s="40"/>
      <c r="F628" s="40"/>
      <c r="G628" s="40"/>
      <c r="H628" s="40"/>
      <c r="I628" s="40"/>
    </row>
    <row r="629" spans="1:9">
      <c r="A629" s="40"/>
      <c r="B629" s="40"/>
      <c r="C629" s="40"/>
      <c r="D629" s="40"/>
      <c r="E629" s="40"/>
      <c r="F629" s="40"/>
      <c r="G629" s="40"/>
      <c r="H629" s="40"/>
      <c r="I629" s="40"/>
    </row>
    <row r="630" spans="1:9">
      <c r="A630" s="40"/>
      <c r="B630" s="40"/>
      <c r="C630" s="40"/>
      <c r="D630" s="40"/>
      <c r="E630" s="40"/>
      <c r="F630" s="40"/>
      <c r="G630" s="40"/>
      <c r="H630" s="40"/>
      <c r="I630" s="40"/>
    </row>
    <row r="631" spans="1:9">
      <c r="A631" s="40"/>
      <c r="B631" s="40"/>
      <c r="C631" s="40"/>
      <c r="D631" s="40"/>
      <c r="E631" s="40"/>
      <c r="F631" s="40"/>
      <c r="G631" s="40"/>
      <c r="H631" s="40"/>
      <c r="I631" s="40"/>
    </row>
    <row r="632" spans="1:9">
      <c r="A632" s="40"/>
      <c r="B632" s="40"/>
      <c r="C632" s="40"/>
      <c r="D632" s="40"/>
      <c r="E632" s="40"/>
      <c r="F632" s="40"/>
      <c r="G632" s="40"/>
      <c r="H632" s="40"/>
      <c r="I632" s="40"/>
    </row>
    <row r="633" spans="1:9">
      <c r="A633" s="40"/>
      <c r="B633" s="40"/>
      <c r="C633" s="40"/>
      <c r="D633" s="40"/>
      <c r="E633" s="40"/>
      <c r="F633" s="40"/>
      <c r="G633" s="40"/>
      <c r="H633" s="40"/>
      <c r="I633" s="40"/>
    </row>
    <row r="634" spans="1:9">
      <c r="A634" s="40"/>
      <c r="B634" s="40"/>
      <c r="C634" s="40"/>
      <c r="D634" s="40"/>
      <c r="E634" s="40"/>
      <c r="F634" s="40"/>
      <c r="G634" s="40"/>
      <c r="H634" s="40"/>
      <c r="I634" s="40"/>
    </row>
    <row r="635" spans="1:9">
      <c r="A635" s="40"/>
      <c r="B635" s="40"/>
      <c r="C635" s="40"/>
      <c r="D635" s="40"/>
      <c r="E635" s="40"/>
      <c r="F635" s="40"/>
      <c r="G635" s="40"/>
      <c r="H635" s="40"/>
      <c r="I635" s="40"/>
    </row>
    <row r="636" spans="1:9">
      <c r="A636" s="40"/>
      <c r="B636" s="40"/>
      <c r="C636" s="40"/>
      <c r="D636" s="40"/>
      <c r="E636" s="40"/>
      <c r="F636" s="40"/>
      <c r="G636" s="40"/>
      <c r="H636" s="40"/>
      <c r="I636" s="40"/>
    </row>
    <row r="637" spans="1:9">
      <c r="A637" s="40"/>
      <c r="B637" s="40"/>
      <c r="C637" s="40"/>
      <c r="D637" s="40"/>
      <c r="E637" s="40"/>
      <c r="F637" s="40"/>
      <c r="G637" s="40"/>
      <c r="H637" s="40"/>
      <c r="I637" s="40"/>
    </row>
    <row r="638" spans="1:9">
      <c r="A638" s="40"/>
      <c r="B638" s="40"/>
      <c r="C638" s="40"/>
      <c r="D638" s="40"/>
      <c r="E638" s="40"/>
      <c r="F638" s="40"/>
      <c r="G638" s="40"/>
      <c r="H638" s="40"/>
      <c r="I638" s="40"/>
    </row>
    <row r="639" spans="1:9">
      <c r="A639" s="40"/>
      <c r="B639" s="40"/>
      <c r="C639" s="40"/>
      <c r="D639" s="40"/>
      <c r="E639" s="40"/>
      <c r="F639" s="40"/>
      <c r="G639" s="40"/>
      <c r="H639" s="40"/>
      <c r="I639" s="40"/>
    </row>
    <row r="640" spans="1:9">
      <c r="A640" s="40"/>
      <c r="B640" s="40"/>
      <c r="C640" s="40"/>
      <c r="D640" s="40"/>
      <c r="E640" s="40"/>
      <c r="F640" s="40"/>
      <c r="G640" s="40"/>
      <c r="H640" s="40"/>
      <c r="I640" s="40"/>
    </row>
    <row r="641" spans="1:9">
      <c r="A641" s="40"/>
      <c r="B641" s="40"/>
      <c r="C641" s="40"/>
      <c r="D641" s="40"/>
      <c r="E641" s="40"/>
      <c r="F641" s="40"/>
      <c r="G641" s="40"/>
      <c r="H641" s="40"/>
      <c r="I641" s="40"/>
    </row>
    <row r="642" spans="1:9">
      <c r="A642" s="40"/>
      <c r="B642" s="40"/>
      <c r="C642" s="40"/>
      <c r="D642" s="40"/>
      <c r="E642" s="40"/>
      <c r="F642" s="40"/>
      <c r="G642" s="40"/>
      <c r="H642" s="40"/>
      <c r="I642" s="40"/>
    </row>
    <row r="643" spans="1:9">
      <c r="A643" s="40"/>
      <c r="B643" s="40"/>
      <c r="C643" s="40"/>
      <c r="D643" s="40"/>
      <c r="E643" s="40"/>
      <c r="F643" s="40"/>
      <c r="G643" s="40"/>
      <c r="H643" s="40"/>
      <c r="I643" s="40"/>
    </row>
    <row r="644" spans="1:9">
      <c r="A644" s="40"/>
      <c r="B644" s="40"/>
      <c r="C644" s="40"/>
      <c r="D644" s="40"/>
      <c r="E644" s="40"/>
      <c r="F644" s="40"/>
      <c r="G644" s="40"/>
      <c r="H644" s="40"/>
      <c r="I644" s="40"/>
    </row>
    <row r="645" spans="1:9">
      <c r="A645" s="40"/>
      <c r="B645" s="40"/>
      <c r="C645" s="40"/>
      <c r="D645" s="40"/>
      <c r="E645" s="40"/>
      <c r="F645" s="40"/>
      <c r="G645" s="40"/>
      <c r="H645" s="40"/>
      <c r="I645" s="40"/>
    </row>
    <row r="646" spans="1:9">
      <c r="A646" s="40"/>
      <c r="B646" s="40"/>
      <c r="C646" s="40"/>
      <c r="D646" s="40"/>
      <c r="E646" s="40"/>
      <c r="F646" s="40"/>
      <c r="G646" s="40"/>
      <c r="H646" s="40"/>
      <c r="I646" s="40"/>
    </row>
    <row r="647" spans="1:9">
      <c r="A647" s="40"/>
      <c r="B647" s="40"/>
      <c r="C647" s="40"/>
      <c r="D647" s="40"/>
      <c r="E647" s="40"/>
      <c r="F647" s="40"/>
      <c r="G647" s="40"/>
      <c r="H647" s="40"/>
      <c r="I647" s="40"/>
    </row>
    <row r="648" spans="1:9">
      <c r="A648" s="40"/>
      <c r="B648" s="40"/>
      <c r="C648" s="40"/>
      <c r="D648" s="40"/>
      <c r="E648" s="40"/>
      <c r="F648" s="40"/>
      <c r="G648" s="40"/>
      <c r="H648" s="40"/>
      <c r="I648" s="40"/>
    </row>
    <row r="649" spans="1:9">
      <c r="A649" s="40"/>
      <c r="B649" s="40"/>
      <c r="C649" s="40"/>
      <c r="D649" s="40"/>
      <c r="E649" s="40"/>
      <c r="F649" s="40"/>
      <c r="G649" s="40"/>
      <c r="H649" s="40"/>
      <c r="I649" s="40"/>
    </row>
    <row r="650" spans="1:9">
      <c r="A650" s="40"/>
      <c r="B650" s="40"/>
      <c r="C650" s="40"/>
      <c r="D650" s="40"/>
      <c r="E650" s="40"/>
      <c r="F650" s="40"/>
      <c r="G650" s="40"/>
      <c r="H650" s="40"/>
      <c r="I650" s="40"/>
    </row>
    <row r="651" spans="1:9">
      <c r="A651" s="40"/>
      <c r="B651" s="40"/>
      <c r="C651" s="40"/>
      <c r="D651" s="40"/>
      <c r="E651" s="40"/>
      <c r="F651" s="40"/>
      <c r="G651" s="40"/>
      <c r="H651" s="40"/>
      <c r="I651" s="40"/>
    </row>
    <row r="652" spans="1:9">
      <c r="A652" s="40"/>
      <c r="B652" s="40"/>
      <c r="C652" s="40"/>
      <c r="D652" s="40"/>
      <c r="E652" s="40"/>
      <c r="F652" s="40"/>
      <c r="G652" s="40"/>
      <c r="H652" s="40"/>
      <c r="I652" s="40"/>
    </row>
    <row r="653" spans="1:9">
      <c r="A653" s="40"/>
      <c r="B653" s="40"/>
      <c r="C653" s="40"/>
      <c r="D653" s="40"/>
      <c r="E653" s="40"/>
      <c r="F653" s="40"/>
      <c r="G653" s="40"/>
      <c r="H653" s="40"/>
      <c r="I653" s="40"/>
    </row>
    <row r="654" spans="1:9">
      <c r="A654" s="40"/>
      <c r="B654" s="40"/>
      <c r="C654" s="40"/>
      <c r="D654" s="40"/>
      <c r="E654" s="40"/>
      <c r="F654" s="40"/>
      <c r="G654" s="40"/>
      <c r="H654" s="40"/>
      <c r="I654" s="40"/>
    </row>
    <row r="655" spans="1:9">
      <c r="A655" s="40"/>
      <c r="B655" s="40"/>
      <c r="C655" s="40"/>
      <c r="D655" s="40"/>
      <c r="E655" s="40"/>
      <c r="F655" s="40"/>
      <c r="G655" s="40"/>
      <c r="H655" s="40"/>
      <c r="I655" s="40"/>
    </row>
    <row r="656" spans="1:9">
      <c r="A656" s="40"/>
      <c r="B656" s="40"/>
      <c r="C656" s="40"/>
      <c r="D656" s="40"/>
      <c r="E656" s="40"/>
      <c r="F656" s="40"/>
      <c r="G656" s="40"/>
      <c r="H656" s="40"/>
      <c r="I656" s="40"/>
    </row>
    <row r="657" spans="1:9">
      <c r="A657" s="40"/>
      <c r="B657" s="40"/>
      <c r="C657" s="40"/>
      <c r="D657" s="40"/>
      <c r="E657" s="40"/>
      <c r="F657" s="40"/>
      <c r="G657" s="40"/>
      <c r="H657" s="40"/>
      <c r="I657" s="40"/>
    </row>
    <row r="658" spans="1:9">
      <c r="A658" s="40"/>
      <c r="B658" s="40"/>
      <c r="C658" s="40"/>
      <c r="D658" s="40"/>
      <c r="E658" s="40"/>
      <c r="F658" s="40"/>
      <c r="G658" s="40"/>
      <c r="H658" s="40"/>
      <c r="I658" s="40"/>
    </row>
    <row r="659" spans="1:9">
      <c r="A659" s="40"/>
      <c r="B659" s="40"/>
      <c r="C659" s="40"/>
      <c r="D659" s="40"/>
      <c r="E659" s="40"/>
      <c r="F659" s="40"/>
      <c r="G659" s="40"/>
      <c r="H659" s="40"/>
      <c r="I659" s="40"/>
    </row>
    <row r="660" spans="1:9">
      <c r="A660" s="40"/>
      <c r="B660" s="40"/>
      <c r="C660" s="40"/>
      <c r="D660" s="40"/>
      <c r="E660" s="40"/>
      <c r="F660" s="40"/>
      <c r="G660" s="40"/>
      <c r="H660" s="40"/>
      <c r="I660" s="40"/>
    </row>
    <row r="661" spans="1:9">
      <c r="A661" s="40"/>
      <c r="B661" s="40"/>
      <c r="C661" s="40"/>
      <c r="D661" s="40"/>
      <c r="E661" s="40"/>
      <c r="F661" s="40"/>
      <c r="G661" s="40"/>
      <c r="H661" s="40"/>
      <c r="I661" s="40"/>
    </row>
    <row r="662" spans="1:9">
      <c r="A662" s="40"/>
      <c r="B662" s="40"/>
      <c r="C662" s="40"/>
      <c r="D662" s="40"/>
      <c r="E662" s="40"/>
      <c r="F662" s="40"/>
      <c r="G662" s="40"/>
      <c r="H662" s="40"/>
      <c r="I662" s="40"/>
    </row>
    <row r="663" spans="1:9">
      <c r="A663" s="40"/>
      <c r="B663" s="40"/>
      <c r="C663" s="40"/>
      <c r="D663" s="40"/>
      <c r="E663" s="40"/>
      <c r="F663" s="40"/>
      <c r="G663" s="40"/>
      <c r="H663" s="40"/>
      <c r="I663" s="40"/>
    </row>
    <row r="664" spans="1:9">
      <c r="A664" s="40"/>
      <c r="B664" s="40"/>
      <c r="C664" s="40"/>
      <c r="D664" s="40"/>
      <c r="E664" s="40"/>
      <c r="F664" s="40"/>
      <c r="G664" s="40"/>
      <c r="H664" s="40"/>
      <c r="I664" s="40"/>
    </row>
    <row r="665" spans="1:9">
      <c r="A665" s="40"/>
      <c r="B665" s="40"/>
      <c r="C665" s="40"/>
      <c r="D665" s="40"/>
      <c r="E665" s="40"/>
      <c r="F665" s="40"/>
      <c r="G665" s="40"/>
      <c r="H665" s="40"/>
      <c r="I665" s="40"/>
    </row>
    <row r="666" spans="1:9">
      <c r="A666" s="40"/>
      <c r="B666" s="40"/>
      <c r="C666" s="40"/>
      <c r="D666" s="40"/>
      <c r="E666" s="40"/>
      <c r="F666" s="40"/>
      <c r="G666" s="40"/>
      <c r="H666" s="40"/>
      <c r="I666" s="40"/>
    </row>
    <row r="667" spans="1:9">
      <c r="A667" s="40"/>
      <c r="B667" s="40"/>
      <c r="C667" s="40"/>
      <c r="D667" s="40"/>
      <c r="E667" s="40"/>
      <c r="F667" s="40"/>
      <c r="G667" s="40"/>
      <c r="H667" s="40"/>
      <c r="I667" s="40"/>
    </row>
    <row r="668" spans="1:9">
      <c r="A668" s="40"/>
      <c r="B668" s="40"/>
      <c r="C668" s="40"/>
      <c r="D668" s="40"/>
      <c r="E668" s="40"/>
      <c r="F668" s="40"/>
      <c r="G668" s="40"/>
      <c r="H668" s="40"/>
      <c r="I668" s="40"/>
    </row>
    <row r="669" spans="1:9">
      <c r="A669" s="40"/>
      <c r="B669" s="40"/>
      <c r="C669" s="40"/>
      <c r="D669" s="40"/>
      <c r="E669" s="40"/>
      <c r="F669" s="40"/>
      <c r="G669" s="40"/>
      <c r="H669" s="40"/>
      <c r="I669" s="40"/>
    </row>
    <row r="670" spans="1:9">
      <c r="A670" s="40"/>
      <c r="B670" s="40"/>
      <c r="C670" s="40"/>
      <c r="D670" s="40"/>
      <c r="E670" s="40"/>
      <c r="F670" s="40"/>
      <c r="G670" s="40"/>
      <c r="H670" s="40"/>
      <c r="I670" s="40"/>
    </row>
    <row r="671" spans="1:9">
      <c r="A671" s="40"/>
      <c r="B671" s="40"/>
      <c r="C671" s="40"/>
      <c r="D671" s="40"/>
      <c r="E671" s="40"/>
      <c r="F671" s="40"/>
      <c r="G671" s="40"/>
      <c r="H671" s="40"/>
      <c r="I671" s="40"/>
    </row>
    <row r="672" spans="1:9">
      <c r="A672" s="40"/>
      <c r="B672" s="40"/>
      <c r="C672" s="40"/>
      <c r="D672" s="40"/>
      <c r="E672" s="40"/>
      <c r="F672" s="40"/>
      <c r="G672" s="40"/>
      <c r="H672" s="40"/>
      <c r="I672" s="40"/>
    </row>
    <row r="673" spans="1:9">
      <c r="A673" s="40"/>
      <c r="B673" s="40"/>
      <c r="C673" s="40"/>
      <c r="D673" s="40"/>
      <c r="E673" s="40"/>
      <c r="F673" s="40"/>
      <c r="G673" s="40"/>
      <c r="H673" s="40"/>
      <c r="I673" s="40"/>
    </row>
    <row r="674" spans="1:9">
      <c r="A674" s="40"/>
      <c r="B674" s="40"/>
      <c r="C674" s="40"/>
      <c r="D674" s="40"/>
      <c r="E674" s="40"/>
      <c r="F674" s="40"/>
      <c r="G674" s="40"/>
      <c r="H674" s="40"/>
      <c r="I674" s="40"/>
    </row>
    <row r="675" spans="1:9">
      <c r="A675" s="40"/>
      <c r="B675" s="40"/>
      <c r="C675" s="40"/>
      <c r="D675" s="40"/>
      <c r="E675" s="40"/>
      <c r="F675" s="40"/>
      <c r="G675" s="40"/>
      <c r="H675" s="40"/>
      <c r="I675" s="40"/>
    </row>
    <row r="676" spans="1:9">
      <c r="A676" s="40"/>
      <c r="B676" s="40"/>
      <c r="C676" s="40"/>
      <c r="D676" s="40"/>
      <c r="E676" s="40"/>
      <c r="F676" s="40"/>
      <c r="G676" s="40"/>
      <c r="H676" s="40"/>
      <c r="I676" s="40"/>
    </row>
    <row r="677" spans="1:9">
      <c r="A677" s="40"/>
      <c r="B677" s="40"/>
      <c r="C677" s="40"/>
      <c r="D677" s="40"/>
      <c r="E677" s="40"/>
      <c r="F677" s="40"/>
      <c r="G677" s="40"/>
      <c r="H677" s="40"/>
      <c r="I677" s="40"/>
    </row>
    <row r="678" spans="1:9">
      <c r="A678" s="40"/>
      <c r="B678" s="40"/>
      <c r="C678" s="40"/>
      <c r="D678" s="40"/>
      <c r="E678" s="40"/>
      <c r="F678" s="40"/>
      <c r="G678" s="40"/>
      <c r="H678" s="40"/>
      <c r="I678" s="40"/>
    </row>
    <row r="679" spans="1:9">
      <c r="A679" s="40"/>
      <c r="B679" s="40"/>
      <c r="C679" s="40"/>
      <c r="D679" s="40"/>
      <c r="E679" s="40"/>
      <c r="F679" s="40"/>
      <c r="G679" s="40"/>
      <c r="H679" s="40"/>
      <c r="I679" s="40"/>
    </row>
    <row r="680" spans="1:9">
      <c r="A680" s="40"/>
      <c r="B680" s="40"/>
      <c r="C680" s="40"/>
      <c r="D680" s="40"/>
      <c r="E680" s="40"/>
      <c r="F680" s="40"/>
      <c r="G680" s="40"/>
      <c r="H680" s="40"/>
      <c r="I680" s="40"/>
    </row>
    <row r="681" spans="1:9">
      <c r="A681" s="40"/>
      <c r="B681" s="40"/>
      <c r="C681" s="40"/>
      <c r="D681" s="40"/>
      <c r="E681" s="40"/>
      <c r="F681" s="40"/>
      <c r="G681" s="40"/>
      <c r="H681" s="40"/>
      <c r="I681" s="40"/>
    </row>
    <row r="682" spans="1:9">
      <c r="A682" s="40"/>
      <c r="B682" s="40"/>
      <c r="C682" s="40"/>
      <c r="D682" s="40"/>
      <c r="E682" s="40"/>
      <c r="F682" s="40"/>
      <c r="G682" s="40"/>
      <c r="H682" s="40"/>
      <c r="I682" s="40"/>
    </row>
    <row r="683" spans="1:9">
      <c r="A683" s="40"/>
      <c r="B683" s="40"/>
      <c r="C683" s="40"/>
      <c r="D683" s="40"/>
      <c r="E683" s="40"/>
      <c r="F683" s="40"/>
      <c r="G683" s="40"/>
      <c r="H683" s="40"/>
      <c r="I683" s="40"/>
    </row>
    <row r="684" spans="1:9">
      <c r="A684" s="40"/>
      <c r="B684" s="40"/>
      <c r="C684" s="40"/>
      <c r="D684" s="40"/>
      <c r="E684" s="40"/>
      <c r="F684" s="40"/>
      <c r="G684" s="40"/>
      <c r="H684" s="40"/>
      <c r="I684" s="40"/>
    </row>
    <row r="685" spans="1:9">
      <c r="A685" s="40"/>
      <c r="B685" s="40"/>
      <c r="C685" s="40"/>
      <c r="D685" s="40"/>
      <c r="E685" s="40"/>
      <c r="F685" s="40"/>
      <c r="G685" s="40"/>
      <c r="H685" s="40"/>
      <c r="I685" s="40"/>
    </row>
    <row r="686" spans="1:9">
      <c r="A686" s="40"/>
      <c r="B686" s="40"/>
      <c r="C686" s="40"/>
      <c r="D686" s="40"/>
      <c r="E686" s="40"/>
      <c r="F686" s="40"/>
      <c r="G686" s="40"/>
      <c r="H686" s="40"/>
      <c r="I686" s="40"/>
    </row>
    <row r="687" spans="1:9">
      <c r="A687" s="40"/>
      <c r="B687" s="40"/>
      <c r="C687" s="40"/>
      <c r="D687" s="40"/>
      <c r="E687" s="40"/>
      <c r="F687" s="40"/>
      <c r="G687" s="40"/>
      <c r="H687" s="40"/>
      <c r="I687" s="40"/>
    </row>
    <row r="688" spans="1:9">
      <c r="A688" s="40"/>
      <c r="B688" s="40"/>
      <c r="C688" s="40"/>
      <c r="D688" s="40"/>
      <c r="E688" s="40"/>
      <c r="F688" s="40"/>
      <c r="G688" s="40"/>
      <c r="H688" s="40"/>
      <c r="I688" s="40"/>
    </row>
    <row r="689" spans="1:9">
      <c r="A689" s="40"/>
      <c r="B689" s="40"/>
      <c r="C689" s="40"/>
      <c r="D689" s="40"/>
      <c r="E689" s="40"/>
      <c r="F689" s="40"/>
      <c r="G689" s="40"/>
      <c r="H689" s="40"/>
      <c r="I689" s="40"/>
    </row>
    <row r="690" spans="1:9">
      <c r="A690" s="40"/>
      <c r="B690" s="40"/>
      <c r="C690" s="40"/>
      <c r="D690" s="40"/>
      <c r="E690" s="40"/>
      <c r="F690" s="40"/>
      <c r="G690" s="40"/>
      <c r="H690" s="40"/>
      <c r="I690" s="40"/>
    </row>
    <row r="691" spans="1:9">
      <c r="A691" s="40"/>
      <c r="B691" s="40"/>
      <c r="C691" s="40"/>
      <c r="D691" s="40"/>
      <c r="E691" s="40"/>
      <c r="F691" s="40"/>
      <c r="G691" s="40"/>
      <c r="H691" s="40"/>
      <c r="I691" s="40"/>
    </row>
    <row r="692" spans="1:9">
      <c r="A692" s="40"/>
      <c r="B692" s="40"/>
      <c r="C692" s="40"/>
      <c r="D692" s="40"/>
      <c r="E692" s="40"/>
      <c r="F692" s="40"/>
      <c r="G692" s="40"/>
      <c r="H692" s="40"/>
      <c r="I692" s="40"/>
    </row>
    <row r="693" spans="1:9">
      <c r="A693" s="40"/>
      <c r="B693" s="40"/>
      <c r="C693" s="40"/>
      <c r="D693" s="40"/>
      <c r="E693" s="40"/>
      <c r="F693" s="40"/>
      <c r="G693" s="40"/>
      <c r="H693" s="40"/>
      <c r="I693" s="40"/>
    </row>
    <row r="694" spans="1:9">
      <c r="A694" s="40"/>
      <c r="B694" s="40"/>
      <c r="C694" s="40"/>
      <c r="D694" s="40"/>
      <c r="E694" s="40"/>
      <c r="F694" s="40"/>
      <c r="G694" s="40"/>
      <c r="H694" s="40"/>
      <c r="I694" s="40"/>
    </row>
    <row r="695" spans="1:9">
      <c r="A695" s="40"/>
      <c r="B695" s="40"/>
      <c r="C695" s="40"/>
      <c r="D695" s="40"/>
      <c r="E695" s="40"/>
      <c r="F695" s="40"/>
      <c r="G695" s="40"/>
      <c r="H695" s="40"/>
      <c r="I695" s="40"/>
    </row>
    <row r="696" spans="1:9">
      <c r="A696" s="40"/>
      <c r="B696" s="40"/>
      <c r="C696" s="40"/>
      <c r="D696" s="40"/>
      <c r="E696" s="40"/>
      <c r="F696" s="40"/>
      <c r="G696" s="40"/>
      <c r="H696" s="40"/>
      <c r="I696" s="40"/>
    </row>
    <row r="697" spans="1:9">
      <c r="A697" s="40"/>
      <c r="B697" s="40"/>
      <c r="C697" s="40"/>
      <c r="D697" s="40"/>
      <c r="E697" s="40"/>
      <c r="F697" s="40"/>
      <c r="G697" s="40"/>
      <c r="H697" s="40"/>
      <c r="I697" s="40"/>
    </row>
    <row r="698" spans="1:9">
      <c r="A698" s="40"/>
      <c r="B698" s="40"/>
      <c r="C698" s="40"/>
      <c r="D698" s="40"/>
      <c r="E698" s="40"/>
      <c r="F698" s="40"/>
      <c r="G698" s="40"/>
      <c r="H698" s="40"/>
      <c r="I698" s="40"/>
    </row>
    <row r="699" spans="1:9">
      <c r="A699" s="40"/>
      <c r="B699" s="40"/>
      <c r="C699" s="40"/>
      <c r="D699" s="40"/>
      <c r="E699" s="40"/>
      <c r="F699" s="40"/>
      <c r="G699" s="40"/>
      <c r="H699" s="40"/>
      <c r="I699" s="40"/>
    </row>
    <row r="700" spans="1:9">
      <c r="A700" s="40"/>
      <c r="B700" s="40"/>
      <c r="C700" s="40"/>
      <c r="D700" s="40"/>
      <c r="E700" s="40"/>
      <c r="F700" s="40"/>
      <c r="G700" s="40"/>
      <c r="H700" s="40"/>
      <c r="I700" s="40"/>
    </row>
    <row r="701" spans="1:9">
      <c r="A701" s="40"/>
      <c r="B701" s="40"/>
      <c r="C701" s="40"/>
      <c r="D701" s="40"/>
      <c r="E701" s="40"/>
      <c r="F701" s="40"/>
      <c r="G701" s="40"/>
      <c r="H701" s="40"/>
      <c r="I701" s="40"/>
    </row>
    <row r="702" spans="1:9">
      <c r="A702" s="40"/>
      <c r="B702" s="40"/>
      <c r="C702" s="40"/>
      <c r="D702" s="40"/>
      <c r="E702" s="40"/>
      <c r="F702" s="40"/>
      <c r="G702" s="40"/>
      <c r="H702" s="40"/>
      <c r="I702" s="40"/>
    </row>
    <row r="703" spans="1:9">
      <c r="A703" s="40"/>
      <c r="B703" s="40"/>
      <c r="C703" s="40"/>
      <c r="D703" s="40"/>
      <c r="E703" s="40"/>
      <c r="F703" s="40"/>
      <c r="G703" s="40"/>
      <c r="H703" s="40"/>
      <c r="I703" s="40"/>
    </row>
    <row r="704" spans="1:9">
      <c r="A704" s="40"/>
      <c r="B704" s="40"/>
      <c r="C704" s="40"/>
      <c r="D704" s="40"/>
      <c r="E704" s="40"/>
      <c r="F704" s="40"/>
      <c r="G704" s="40"/>
      <c r="H704" s="40"/>
      <c r="I704" s="40"/>
    </row>
    <row r="705" spans="1:9">
      <c r="A705" s="40"/>
      <c r="B705" s="40"/>
      <c r="C705" s="40"/>
      <c r="D705" s="40"/>
      <c r="E705" s="40"/>
      <c r="F705" s="40"/>
      <c r="G705" s="40"/>
      <c r="H705" s="40"/>
      <c r="I705" s="40"/>
    </row>
    <row r="706" spans="1:9">
      <c r="A706" s="40"/>
      <c r="B706" s="40"/>
      <c r="C706" s="40"/>
      <c r="D706" s="40"/>
      <c r="E706" s="40"/>
      <c r="F706" s="40"/>
      <c r="G706" s="40"/>
      <c r="H706" s="40"/>
      <c r="I706" s="40"/>
    </row>
    <row r="707" spans="1:9">
      <c r="A707" s="40"/>
      <c r="B707" s="40"/>
      <c r="C707" s="40"/>
      <c r="D707" s="40"/>
      <c r="E707" s="40"/>
      <c r="F707" s="40"/>
      <c r="G707" s="40"/>
      <c r="H707" s="40"/>
      <c r="I707" s="40"/>
    </row>
    <row r="708" spans="1:9">
      <c r="A708" s="40"/>
      <c r="B708" s="40"/>
      <c r="C708" s="40"/>
      <c r="D708" s="40"/>
      <c r="E708" s="40"/>
      <c r="F708" s="40"/>
      <c r="G708" s="40"/>
      <c r="H708" s="40"/>
      <c r="I708" s="40"/>
    </row>
    <row r="709" spans="1:9">
      <c r="A709" s="40"/>
      <c r="B709" s="40"/>
      <c r="C709" s="40"/>
      <c r="D709" s="40"/>
      <c r="E709" s="40"/>
      <c r="F709" s="40"/>
      <c r="G709" s="40"/>
      <c r="H709" s="40"/>
      <c r="I709" s="40"/>
    </row>
    <row r="710" spans="1:9">
      <c r="A710" s="40"/>
      <c r="B710" s="40"/>
      <c r="C710" s="40"/>
      <c r="D710" s="40"/>
      <c r="E710" s="40"/>
      <c r="F710" s="40"/>
      <c r="G710" s="40"/>
      <c r="H710" s="40"/>
      <c r="I710" s="40"/>
    </row>
    <row r="711" spans="1:9">
      <c r="A711" s="40"/>
      <c r="B711" s="40"/>
      <c r="C711" s="40"/>
      <c r="D711" s="40"/>
      <c r="E711" s="40"/>
      <c r="F711" s="40"/>
      <c r="G711" s="40"/>
      <c r="H711" s="40"/>
      <c r="I711" s="40"/>
    </row>
    <row r="712" spans="1:9">
      <c r="A712" s="40"/>
      <c r="B712" s="40"/>
      <c r="C712" s="40"/>
      <c r="D712" s="40"/>
      <c r="E712" s="40"/>
      <c r="F712" s="40"/>
      <c r="G712" s="40"/>
      <c r="H712" s="40"/>
      <c r="I712" s="40"/>
    </row>
    <row r="713" spans="1:9">
      <c r="A713" s="40"/>
      <c r="B713" s="40"/>
      <c r="C713" s="40"/>
      <c r="D713" s="40"/>
      <c r="E713" s="40"/>
      <c r="F713" s="40"/>
      <c r="G713" s="40"/>
      <c r="H713" s="40"/>
      <c r="I713" s="40"/>
    </row>
    <row r="714" spans="1:9">
      <c r="A714" s="40"/>
      <c r="B714" s="40"/>
      <c r="C714" s="40"/>
      <c r="D714" s="40"/>
      <c r="E714" s="40"/>
      <c r="F714" s="40"/>
      <c r="G714" s="40"/>
      <c r="H714" s="40"/>
      <c r="I714" s="40"/>
    </row>
    <row r="715" spans="1:9">
      <c r="A715" s="40"/>
      <c r="B715" s="40"/>
      <c r="C715" s="40"/>
      <c r="D715" s="40"/>
      <c r="E715" s="40"/>
      <c r="F715" s="40"/>
      <c r="G715" s="40"/>
      <c r="H715" s="40"/>
      <c r="I715" s="40"/>
    </row>
    <row r="716" spans="1:9">
      <c r="A716" s="40"/>
      <c r="B716" s="40"/>
      <c r="C716" s="40"/>
      <c r="D716" s="40"/>
      <c r="E716" s="40"/>
      <c r="F716" s="40"/>
      <c r="G716" s="40"/>
      <c r="H716" s="40"/>
      <c r="I716" s="40"/>
    </row>
    <row r="717" spans="1:9">
      <c r="A717" s="40"/>
      <c r="B717" s="40"/>
      <c r="C717" s="40"/>
      <c r="D717" s="40"/>
      <c r="E717" s="40"/>
      <c r="F717" s="40"/>
      <c r="G717" s="40"/>
      <c r="H717" s="40"/>
      <c r="I717" s="40"/>
    </row>
    <row r="718" spans="1:9">
      <c r="A718" s="40"/>
      <c r="B718" s="40"/>
      <c r="C718" s="40"/>
      <c r="D718" s="40"/>
      <c r="E718" s="40"/>
      <c r="F718" s="40"/>
      <c r="G718" s="40"/>
      <c r="H718" s="40"/>
      <c r="I718" s="40"/>
    </row>
    <row r="719" spans="1:9">
      <c r="A719" s="40"/>
      <c r="B719" s="40"/>
      <c r="C719" s="40"/>
      <c r="D719" s="40"/>
      <c r="E719" s="40"/>
      <c r="F719" s="40"/>
      <c r="G719" s="40"/>
      <c r="H719" s="40"/>
      <c r="I719" s="40"/>
    </row>
    <row r="720" spans="1:9">
      <c r="A720" s="40"/>
      <c r="B720" s="40"/>
      <c r="C720" s="40"/>
      <c r="D720" s="40"/>
      <c r="E720" s="40"/>
      <c r="F720" s="40"/>
      <c r="G720" s="40"/>
      <c r="H720" s="40"/>
      <c r="I720" s="40"/>
    </row>
    <row r="721" spans="1:9">
      <c r="A721" s="40"/>
      <c r="B721" s="40"/>
      <c r="C721" s="40"/>
      <c r="D721" s="40"/>
      <c r="E721" s="40"/>
      <c r="F721" s="40"/>
      <c r="G721" s="40"/>
      <c r="H721" s="40"/>
      <c r="I721" s="40"/>
    </row>
    <row r="722" spans="1:9">
      <c r="A722" s="40"/>
      <c r="B722" s="40"/>
      <c r="C722" s="40"/>
      <c r="D722" s="40"/>
      <c r="E722" s="40"/>
      <c r="F722" s="40"/>
      <c r="G722" s="40"/>
      <c r="H722" s="40"/>
      <c r="I722" s="40"/>
    </row>
    <row r="723" spans="1:9">
      <c r="A723" s="40"/>
      <c r="B723" s="40"/>
      <c r="C723" s="40"/>
      <c r="D723" s="40"/>
      <c r="E723" s="40"/>
      <c r="F723" s="40"/>
      <c r="G723" s="40"/>
      <c r="H723" s="40"/>
      <c r="I723" s="40"/>
    </row>
    <row r="724" spans="1:9">
      <c r="A724" s="40"/>
      <c r="B724" s="40"/>
      <c r="C724" s="40"/>
      <c r="D724" s="40"/>
      <c r="E724" s="40"/>
      <c r="F724" s="40"/>
      <c r="G724" s="40"/>
      <c r="H724" s="40"/>
      <c r="I724" s="40"/>
    </row>
    <row r="725" spans="1:9">
      <c r="A725" s="40"/>
      <c r="B725" s="40"/>
      <c r="C725" s="40"/>
      <c r="D725" s="40"/>
      <c r="E725" s="40"/>
      <c r="F725" s="40"/>
      <c r="G725" s="40"/>
      <c r="H725" s="40"/>
      <c r="I725" s="40"/>
    </row>
    <row r="726" spans="1:9">
      <c r="A726" s="40"/>
      <c r="B726" s="40"/>
      <c r="C726" s="40"/>
      <c r="D726" s="40"/>
      <c r="E726" s="40"/>
      <c r="F726" s="40"/>
      <c r="G726" s="40"/>
      <c r="H726" s="40"/>
      <c r="I726" s="40"/>
    </row>
    <row r="727" spans="1:9">
      <c r="A727" s="40"/>
      <c r="B727" s="40"/>
      <c r="C727" s="40"/>
      <c r="D727" s="40"/>
      <c r="E727" s="40"/>
      <c r="F727" s="40"/>
      <c r="G727" s="40"/>
      <c r="H727" s="40"/>
      <c r="I727" s="40"/>
    </row>
    <row r="728" spans="1:9">
      <c r="A728" s="40"/>
      <c r="B728" s="40"/>
      <c r="C728" s="40"/>
      <c r="D728" s="40"/>
      <c r="E728" s="40"/>
      <c r="F728" s="40"/>
      <c r="G728" s="40"/>
      <c r="H728" s="40"/>
      <c r="I728" s="40"/>
    </row>
    <row r="729" spans="1:9">
      <c r="A729" s="40"/>
      <c r="B729" s="40"/>
      <c r="C729" s="40"/>
      <c r="D729" s="40"/>
      <c r="E729" s="40"/>
      <c r="F729" s="40"/>
      <c r="G729" s="40"/>
      <c r="H729" s="40"/>
      <c r="I729" s="40"/>
    </row>
    <row r="730" spans="1:9">
      <c r="A730" s="40"/>
      <c r="B730" s="40"/>
      <c r="C730" s="40"/>
      <c r="D730" s="40"/>
      <c r="E730" s="40"/>
      <c r="F730" s="40"/>
      <c r="G730" s="40"/>
      <c r="H730" s="40"/>
      <c r="I730" s="40"/>
    </row>
    <row r="731" spans="1:9">
      <c r="A731" s="40"/>
      <c r="B731" s="40"/>
      <c r="C731" s="40"/>
      <c r="D731" s="40"/>
      <c r="E731" s="40"/>
      <c r="F731" s="40"/>
      <c r="G731" s="40"/>
      <c r="H731" s="40"/>
      <c r="I731" s="40"/>
    </row>
    <row r="732" spans="1:9">
      <c r="A732" s="40"/>
      <c r="B732" s="40"/>
      <c r="C732" s="40"/>
      <c r="D732" s="40"/>
      <c r="E732" s="40"/>
      <c r="F732" s="40"/>
      <c r="G732" s="40"/>
      <c r="H732" s="40"/>
      <c r="I732" s="40"/>
    </row>
    <row r="733" spans="1:9">
      <c r="A733" s="40"/>
      <c r="B733" s="40"/>
      <c r="C733" s="40"/>
      <c r="D733" s="40"/>
      <c r="E733" s="40"/>
      <c r="F733" s="40"/>
      <c r="G733" s="40"/>
      <c r="H733" s="40"/>
      <c r="I733" s="40"/>
    </row>
    <row r="734" spans="1:9">
      <c r="A734" s="40"/>
      <c r="B734" s="40"/>
      <c r="C734" s="40"/>
      <c r="D734" s="40"/>
      <c r="E734" s="40"/>
      <c r="F734" s="40"/>
      <c r="G734" s="40"/>
      <c r="H734" s="40"/>
      <c r="I734" s="40"/>
    </row>
    <row r="735" spans="1:9">
      <c r="A735" s="40"/>
      <c r="B735" s="40"/>
      <c r="C735" s="40"/>
      <c r="D735" s="40"/>
      <c r="E735" s="40"/>
      <c r="F735" s="40"/>
      <c r="G735" s="40"/>
      <c r="H735" s="40"/>
      <c r="I735" s="40"/>
    </row>
    <row r="736" spans="1:9">
      <c r="A736" s="40"/>
      <c r="B736" s="40"/>
      <c r="C736" s="40"/>
      <c r="D736" s="40"/>
      <c r="E736" s="40"/>
      <c r="F736" s="40"/>
      <c r="G736" s="40"/>
      <c r="H736" s="40"/>
      <c r="I736" s="40"/>
    </row>
    <row r="737" spans="1:9">
      <c r="A737" s="40"/>
      <c r="B737" s="40"/>
      <c r="C737" s="40"/>
      <c r="D737" s="40"/>
      <c r="E737" s="40"/>
      <c r="F737" s="40"/>
      <c r="G737" s="40"/>
      <c r="H737" s="40"/>
      <c r="I737" s="40"/>
    </row>
    <row r="738" spans="1:9">
      <c r="A738" s="40"/>
      <c r="B738" s="40"/>
      <c r="C738" s="40"/>
      <c r="D738" s="40"/>
      <c r="E738" s="40"/>
      <c r="F738" s="40"/>
      <c r="G738" s="40"/>
      <c r="H738" s="40"/>
      <c r="I738" s="40"/>
    </row>
    <row r="739" spans="1:9">
      <c r="A739" s="40"/>
      <c r="B739" s="40"/>
      <c r="C739" s="40"/>
      <c r="D739" s="40"/>
      <c r="E739" s="40"/>
      <c r="F739" s="40"/>
      <c r="G739" s="40"/>
      <c r="H739" s="40"/>
      <c r="I739" s="40"/>
    </row>
    <row r="740" spans="1:9">
      <c r="A740" s="40"/>
      <c r="B740" s="40"/>
      <c r="C740" s="40"/>
      <c r="D740" s="40"/>
      <c r="E740" s="40"/>
      <c r="F740" s="40"/>
      <c r="G740" s="40"/>
      <c r="H740" s="40"/>
      <c r="I740" s="40"/>
    </row>
    <row r="741" spans="1:9">
      <c r="A741" s="40"/>
      <c r="B741" s="40"/>
      <c r="C741" s="40"/>
      <c r="D741" s="40"/>
      <c r="E741" s="40"/>
      <c r="F741" s="40"/>
      <c r="G741" s="40"/>
      <c r="H741" s="40"/>
      <c r="I741" s="40"/>
    </row>
    <row r="742" spans="1:9">
      <c r="A742" s="40"/>
      <c r="B742" s="40"/>
      <c r="C742" s="40"/>
      <c r="D742" s="40"/>
      <c r="E742" s="40"/>
      <c r="F742" s="40"/>
      <c r="G742" s="40"/>
      <c r="H742" s="40"/>
      <c r="I742" s="40"/>
    </row>
    <row r="743" spans="1:9">
      <c r="A743" s="40"/>
      <c r="B743" s="40"/>
      <c r="C743" s="40"/>
      <c r="D743" s="40"/>
      <c r="E743" s="40"/>
      <c r="F743" s="40"/>
      <c r="G743" s="40"/>
      <c r="H743" s="40"/>
      <c r="I743" s="40"/>
    </row>
    <row r="744" spans="1:9">
      <c r="A744" s="40"/>
      <c r="B744" s="40"/>
      <c r="C744" s="40"/>
      <c r="D744" s="40"/>
      <c r="E744" s="40"/>
      <c r="F744" s="40"/>
      <c r="G744" s="40"/>
      <c r="H744" s="40"/>
      <c r="I744" s="40"/>
    </row>
    <row r="745" spans="1:9">
      <c r="A745" s="40"/>
      <c r="B745" s="40"/>
      <c r="C745" s="40"/>
      <c r="D745" s="40"/>
      <c r="E745" s="40"/>
      <c r="F745" s="40"/>
      <c r="G745" s="40"/>
      <c r="H745" s="40"/>
      <c r="I745" s="40"/>
    </row>
    <row r="746" spans="1:9">
      <c r="A746" s="40"/>
      <c r="B746" s="40"/>
      <c r="C746" s="40"/>
      <c r="D746" s="40"/>
      <c r="E746" s="40"/>
      <c r="F746" s="40"/>
      <c r="G746" s="40"/>
      <c r="H746" s="40"/>
      <c r="I746" s="40"/>
    </row>
    <row r="747" spans="1:9">
      <c r="A747" s="40"/>
      <c r="B747" s="40"/>
      <c r="C747" s="40"/>
      <c r="D747" s="40"/>
      <c r="E747" s="40"/>
      <c r="F747" s="40"/>
      <c r="G747" s="40"/>
      <c r="H747" s="40"/>
      <c r="I747" s="40"/>
    </row>
    <row r="748" spans="1:9">
      <c r="A748" s="40"/>
      <c r="B748" s="40"/>
      <c r="C748" s="40"/>
      <c r="D748" s="40"/>
      <c r="E748" s="40"/>
      <c r="F748" s="40"/>
      <c r="G748" s="40"/>
      <c r="H748" s="40"/>
      <c r="I748" s="40"/>
    </row>
    <row r="749" spans="1:9">
      <c r="A749" s="40"/>
      <c r="B749" s="40"/>
      <c r="C749" s="40"/>
      <c r="D749" s="40"/>
      <c r="E749" s="40"/>
      <c r="F749" s="40"/>
      <c r="G749" s="40"/>
      <c r="H749" s="40"/>
      <c r="I749" s="40"/>
    </row>
    <row r="750" spans="1:9">
      <c r="A750" s="40"/>
      <c r="B750" s="40"/>
      <c r="C750" s="40"/>
      <c r="D750" s="40"/>
      <c r="E750" s="40"/>
      <c r="F750" s="40"/>
      <c r="G750" s="40"/>
      <c r="H750" s="40"/>
      <c r="I750" s="40"/>
    </row>
    <row r="751" spans="1:9">
      <c r="A751" s="40"/>
      <c r="B751" s="40"/>
      <c r="C751" s="40"/>
      <c r="D751" s="40"/>
      <c r="E751" s="40"/>
      <c r="F751" s="40"/>
      <c r="G751" s="40"/>
      <c r="H751" s="40"/>
      <c r="I751" s="40"/>
    </row>
    <row r="752" spans="1:9" ht="66.75" customHeight="1">
      <c r="A752" s="40" t="s">
        <v>4270</v>
      </c>
      <c r="B752" s="40"/>
      <c r="C752" s="97" t="s">
        <v>4271</v>
      </c>
      <c r="D752" s="40"/>
      <c r="E752" s="40"/>
      <c r="F752" s="40"/>
      <c r="G752" s="40"/>
      <c r="H752" s="40"/>
      <c r="I752" s="40" t="s">
        <v>4272</v>
      </c>
    </row>
    <row r="753" spans="1:9">
      <c r="A753" s="40"/>
      <c r="B753" s="40"/>
      <c r="C753" s="40"/>
      <c r="D753" s="40"/>
      <c r="E753" s="40"/>
      <c r="F753" s="40"/>
      <c r="G753" s="40"/>
      <c r="H753" s="40"/>
      <c r="I753" s="40" t="s">
        <v>4273</v>
      </c>
    </row>
    <row r="754" spans="1:9">
      <c r="A754" s="40"/>
      <c r="B754" s="40"/>
      <c r="C754" s="40"/>
      <c r="D754" s="40"/>
      <c r="E754" s="40"/>
      <c r="F754" s="40"/>
      <c r="G754" s="40"/>
      <c r="H754" s="40"/>
      <c r="I754" s="40"/>
    </row>
    <row r="755" spans="1:9">
      <c r="A755" s="40"/>
      <c r="B755" s="40"/>
      <c r="C755" s="40"/>
      <c r="D755" s="40"/>
      <c r="E755" s="40"/>
      <c r="F755" s="40"/>
      <c r="G755" s="40"/>
      <c r="H755" s="40"/>
      <c r="I755" s="40" t="s">
        <v>4274</v>
      </c>
    </row>
    <row r="756" spans="1:9">
      <c r="A756" s="40"/>
      <c r="B756" s="40"/>
      <c r="C756" s="40"/>
      <c r="D756" s="40"/>
      <c r="E756" s="40"/>
      <c r="F756" s="40"/>
      <c r="G756" s="40"/>
      <c r="H756" s="40"/>
      <c r="I756" s="40"/>
    </row>
    <row r="757" spans="1:9">
      <c r="A757" s="40"/>
      <c r="B757" s="40"/>
      <c r="C757" s="40"/>
      <c r="D757" s="40"/>
      <c r="E757" s="40"/>
      <c r="F757" s="40"/>
      <c r="G757" s="40"/>
      <c r="H757" s="40"/>
      <c r="I757" s="40" t="s">
        <v>4261</v>
      </c>
    </row>
    <row r="758" spans="1:9">
      <c r="A758" s="40"/>
      <c r="B758" s="40"/>
      <c r="C758" s="40"/>
      <c r="D758" s="40"/>
      <c r="E758" s="40"/>
      <c r="F758" s="40"/>
      <c r="G758" s="40"/>
      <c r="H758" s="40"/>
      <c r="I758" s="40"/>
    </row>
  </sheetData>
  <mergeCells count="45">
    <mergeCell ref="H29:I29"/>
    <mergeCell ref="H23:I23"/>
    <mergeCell ref="J29:M29"/>
    <mergeCell ref="J28:M28"/>
    <mergeCell ref="J27:M27"/>
    <mergeCell ref="J26:M26"/>
    <mergeCell ref="J25:M25"/>
    <mergeCell ref="J24:M24"/>
    <mergeCell ref="J23:M23"/>
    <mergeCell ref="H24:I24"/>
    <mergeCell ref="H25:I25"/>
    <mergeCell ref="H26:I26"/>
    <mergeCell ref="H27:I27"/>
    <mergeCell ref="H28:I28"/>
    <mergeCell ref="B4:C4"/>
    <mergeCell ref="B13:C13"/>
    <mergeCell ref="B23:C23"/>
    <mergeCell ref="B24:C24"/>
    <mergeCell ref="B25:C25"/>
    <mergeCell ref="B7:C7"/>
    <mergeCell ref="R5:S5"/>
    <mergeCell ref="B28:C28"/>
    <mergeCell ref="B5:C5"/>
    <mergeCell ref="B6:C6"/>
    <mergeCell ref="B26:C26"/>
    <mergeCell ref="B27:C27"/>
    <mergeCell ref="D7:G7"/>
    <mergeCell ref="O11:P11"/>
    <mergeCell ref="Q10:R10"/>
    <mergeCell ref="R4:S4"/>
    <mergeCell ref="P4:Q4"/>
    <mergeCell ref="B29:C29"/>
    <mergeCell ref="D4:G4"/>
    <mergeCell ref="D5:G5"/>
    <mergeCell ref="D6:G6"/>
    <mergeCell ref="D13:G13"/>
    <mergeCell ref="D23:G23"/>
    <mergeCell ref="D25:G25"/>
    <mergeCell ref="D26:G26"/>
    <mergeCell ref="D27:G27"/>
    <mergeCell ref="D28:G28"/>
    <mergeCell ref="D29:G29"/>
    <mergeCell ref="D14:G14"/>
    <mergeCell ref="D24:G24"/>
    <mergeCell ref="P5:Q5"/>
  </mergeCells>
  <phoneticPr fontId="1"/>
  <dataValidations count="1">
    <dataValidation type="list" allowBlank="1" showInputMessage="1" showErrorMessage="1" sqref="I5:N5" xr:uid="{00000000-0002-0000-0000-000000000000}">
      <formula1>"○,×"</formula1>
    </dataValidation>
  </dataValidations>
  <hyperlinks>
    <hyperlink ref="S10" location="System!C4" display="リンク" xr:uid="{00000000-0004-0000-0000-000000000000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mdCreateXML">
          <controlPr autoLine="0" r:id="rId5">
            <anchor moveWithCells="1">
              <from>
                <xdr:col>1</xdr:col>
                <xdr:colOff>0</xdr:colOff>
                <xdr:row>7</xdr:row>
                <xdr:rowOff>19050</xdr:rowOff>
              </from>
              <to>
                <xdr:col>4</xdr:col>
                <xdr:colOff>485775</xdr:colOff>
                <xdr:row>9</xdr:row>
                <xdr:rowOff>0</xdr:rowOff>
              </to>
            </anchor>
          </controlPr>
        </control>
      </mc:Choice>
      <mc:Fallback>
        <control shapeId="2050" r:id="rId4" name="cmdCreateXML"/>
      </mc:Fallback>
    </mc:AlternateContent>
    <mc:AlternateContent xmlns:mc="http://schemas.openxmlformats.org/markup-compatibility/2006">
      <mc:Choice Requires="x14">
        <control shapeId="2051" r:id="rId6" name="cmdCreateSource">
          <controlPr defaultSize="0" autoLine="0" r:id="rId7">
            <anchor moveWithCells="1">
              <from>
                <xdr:col>1</xdr:col>
                <xdr:colOff>0</xdr:colOff>
                <xdr:row>14</xdr:row>
                <xdr:rowOff>19050</xdr:rowOff>
              </from>
              <to>
                <xdr:col>4</xdr:col>
                <xdr:colOff>485775</xdr:colOff>
                <xdr:row>16</xdr:row>
                <xdr:rowOff>0</xdr:rowOff>
              </to>
            </anchor>
          </controlPr>
        </control>
      </mc:Choice>
      <mc:Fallback>
        <control shapeId="2051" r:id="rId6" name="cmdCreateSource"/>
      </mc:Fallback>
    </mc:AlternateContent>
    <mc:AlternateContent xmlns:mc="http://schemas.openxmlformats.org/markup-compatibility/2006">
      <mc:Choice Requires="x14">
        <control shapeId="2053" r:id="rId8" name="cmdSelectSrcPath">
          <controlPr autoLine="0" altText="" r:id="rId9">
            <anchor moveWithCells="1">
              <from>
                <xdr:col>7</xdr:col>
                <xdr:colOff>19050</xdr:colOff>
                <xdr:row>13</xdr:row>
                <xdr:rowOff>9525</xdr:rowOff>
              </from>
              <to>
                <xdr:col>7</xdr:col>
                <xdr:colOff>333375</xdr:colOff>
                <xdr:row>14</xdr:row>
                <xdr:rowOff>0</xdr:rowOff>
              </to>
            </anchor>
          </controlPr>
        </control>
      </mc:Choice>
      <mc:Fallback>
        <control shapeId="2053" r:id="rId8" name="cmdSelectSrcPath"/>
      </mc:Fallback>
    </mc:AlternateContent>
    <mc:AlternateContent xmlns:mc="http://schemas.openxmlformats.org/markup-compatibility/2006">
      <mc:Choice Requires="x14">
        <control shapeId="2054" r:id="rId10" name="cmdSelectXMLPath">
          <controlPr autoLine="0" altText="" r:id="rId11">
            <anchor moveWithCells="1">
              <from>
                <xdr:col>7</xdr:col>
                <xdr:colOff>19050</xdr:colOff>
                <xdr:row>4</xdr:row>
                <xdr:rowOff>9525</xdr:rowOff>
              </from>
              <to>
                <xdr:col>7</xdr:col>
                <xdr:colOff>333375</xdr:colOff>
                <xdr:row>5</xdr:row>
                <xdr:rowOff>0</xdr:rowOff>
              </to>
            </anchor>
          </controlPr>
        </control>
      </mc:Choice>
      <mc:Fallback>
        <control shapeId="2054" r:id="rId10" name="cmdSelectXMLPath"/>
      </mc:Fallback>
    </mc:AlternateContent>
    <mc:AlternateContent xmlns:mc="http://schemas.openxmlformats.org/markup-compatibility/2006">
      <mc:Choice Requires="x14">
        <control shapeId="2057" r:id="rId12" name="btnIpToHex">
          <controlPr defaultSize="0" autoLine="0" r:id="rId13">
            <anchor moveWithCells="1">
              <from>
                <xdr:col>16</xdr:col>
                <xdr:colOff>257175</xdr:colOff>
                <xdr:row>5</xdr:row>
                <xdr:rowOff>19050</xdr:rowOff>
              </from>
              <to>
                <xdr:col>17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2057" r:id="rId12" name="btnIpToHex"/>
      </mc:Fallback>
    </mc:AlternateContent>
    <mc:AlternateContent xmlns:mc="http://schemas.openxmlformats.org/markup-compatibility/2006">
      <mc:Choice Requires="x14">
        <control shapeId="2058" r:id="rId14" name="btnHexToIp">
          <controlPr defaultSize="0" autoLine="0" r:id="rId15">
            <anchor moveWithCells="1">
              <from>
                <xdr:col>17</xdr:col>
                <xdr:colOff>19050</xdr:colOff>
                <xdr:row>5</xdr:row>
                <xdr:rowOff>19050</xdr:rowOff>
              </from>
              <to>
                <xdr:col>17</xdr:col>
                <xdr:colOff>447675</xdr:colOff>
                <xdr:row>6</xdr:row>
                <xdr:rowOff>0</xdr:rowOff>
              </to>
            </anchor>
          </controlPr>
        </control>
      </mc:Choice>
      <mc:Fallback>
        <control shapeId="2058" r:id="rId14" name="btnHexToI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852"/>
  <sheetViews>
    <sheetView zoomScale="80" zoomScaleNormal="80" workbookViewId="0">
      <pane ySplit="3" topLeftCell="A814" activePane="bottomLeft" state="frozen"/>
      <selection activeCell="D757" sqref="D757"/>
      <selection pane="bottomLeft" activeCell="I813" sqref="I813:I815"/>
    </sheetView>
  </sheetViews>
  <sheetFormatPr defaultRowHeight="13.5"/>
  <cols>
    <col min="1" max="1" width="64.625" customWidth="1"/>
    <col min="2" max="2" width="36.5" customWidth="1"/>
    <col min="3" max="3" width="58.5" style="4" customWidth="1"/>
    <col min="4" max="5" width="20.625" style="4" customWidth="1"/>
    <col min="6" max="6" width="11.125" customWidth="1"/>
    <col min="7" max="7" width="14.875" customWidth="1"/>
    <col min="8" max="8" width="5.75" bestFit="1" customWidth="1"/>
    <col min="9" max="9" width="50.625" customWidth="1"/>
    <col min="11" max="11" width="11.75" customWidth="1"/>
  </cols>
  <sheetData>
    <row r="1" spans="1:9">
      <c r="A1" s="34" t="s">
        <v>2797</v>
      </c>
      <c r="B1" s="30" t="s">
        <v>0</v>
      </c>
      <c r="C1" s="34" t="s">
        <v>2796</v>
      </c>
      <c r="D1" s="30">
        <v>1</v>
      </c>
    </row>
    <row r="3" spans="1:9" ht="27">
      <c r="A3" s="1" t="s">
        <v>1</v>
      </c>
      <c r="B3" s="1" t="s">
        <v>2</v>
      </c>
      <c r="C3" s="5" t="s">
        <v>3</v>
      </c>
      <c r="D3" s="5" t="s">
        <v>193</v>
      </c>
      <c r="E3" s="5" t="s">
        <v>194</v>
      </c>
      <c r="F3" s="28" t="s">
        <v>1089</v>
      </c>
      <c r="G3" s="29" t="s">
        <v>2777</v>
      </c>
      <c r="H3" s="29" t="s">
        <v>1092</v>
      </c>
      <c r="I3" s="1" t="s">
        <v>274</v>
      </c>
    </row>
    <row r="4" spans="1:9">
      <c r="A4" s="37" t="s">
        <v>824</v>
      </c>
      <c r="B4" s="37" t="s">
        <v>825</v>
      </c>
      <c r="C4" s="83" t="str">
        <f>設定!Q10</f>
        <v>0x00000059</v>
      </c>
      <c r="D4" s="74" t="s">
        <v>826</v>
      </c>
      <c r="E4" s="74" t="s">
        <v>228</v>
      </c>
      <c r="F4" s="67" t="s">
        <v>230</v>
      </c>
      <c r="G4" s="67" t="s">
        <v>1052</v>
      </c>
      <c r="H4" s="37">
        <f t="shared" ref="H4:H67" si="0">ROW()-3</f>
        <v>1</v>
      </c>
      <c r="I4" s="37" t="s">
        <v>2771</v>
      </c>
    </row>
    <row r="5" spans="1:9">
      <c r="A5" s="37" t="s">
        <v>5</v>
      </c>
      <c r="B5" s="37" t="s">
        <v>6</v>
      </c>
      <c r="C5" s="74" t="s">
        <v>7</v>
      </c>
      <c r="D5" s="74" t="s">
        <v>195</v>
      </c>
      <c r="E5" s="74" t="s">
        <v>228</v>
      </c>
      <c r="F5" s="67" t="s">
        <v>230</v>
      </c>
      <c r="G5" s="67" t="s">
        <v>1052</v>
      </c>
      <c r="H5" s="37">
        <f t="shared" si="0"/>
        <v>2</v>
      </c>
      <c r="I5" s="37"/>
    </row>
    <row r="6" spans="1:9">
      <c r="A6" s="37" t="s">
        <v>8</v>
      </c>
      <c r="B6" s="37" t="s">
        <v>9</v>
      </c>
      <c r="C6" s="74" t="s">
        <v>196</v>
      </c>
      <c r="D6" s="74" t="s">
        <v>195</v>
      </c>
      <c r="E6" s="74" t="s">
        <v>228</v>
      </c>
      <c r="F6" s="67" t="s">
        <v>230</v>
      </c>
      <c r="G6" s="67" t="s">
        <v>1052</v>
      </c>
      <c r="H6" s="37">
        <f t="shared" si="0"/>
        <v>3</v>
      </c>
      <c r="I6" s="37"/>
    </row>
    <row r="7" spans="1:9">
      <c r="A7" s="37" t="s">
        <v>10</v>
      </c>
      <c r="B7" s="37" t="s">
        <v>11</v>
      </c>
      <c r="C7" s="74" t="s">
        <v>12</v>
      </c>
      <c r="D7" s="74" t="s">
        <v>195</v>
      </c>
      <c r="E7" s="74" t="s">
        <v>228</v>
      </c>
      <c r="F7" s="67" t="s">
        <v>230</v>
      </c>
      <c r="G7" s="67" t="s">
        <v>1052</v>
      </c>
      <c r="H7" s="37">
        <f t="shared" si="0"/>
        <v>4</v>
      </c>
      <c r="I7" s="37"/>
    </row>
    <row r="8" spans="1:9">
      <c r="A8" s="37" t="s">
        <v>1069</v>
      </c>
      <c r="B8" s="37" t="s">
        <v>13</v>
      </c>
      <c r="C8" s="74">
        <v>0</v>
      </c>
      <c r="D8" s="74">
        <v>0</v>
      </c>
      <c r="E8" s="74">
        <v>1</v>
      </c>
      <c r="F8" s="67" t="s">
        <v>230</v>
      </c>
      <c r="G8" s="67" t="s">
        <v>1052</v>
      </c>
      <c r="H8" s="37">
        <f t="shared" si="0"/>
        <v>5</v>
      </c>
      <c r="I8" s="37"/>
    </row>
    <row r="9" spans="1:9">
      <c r="A9" s="37" t="s">
        <v>208</v>
      </c>
      <c r="B9" s="37" t="s">
        <v>14</v>
      </c>
      <c r="C9" s="74">
        <v>1</v>
      </c>
      <c r="D9" s="74">
        <v>0</v>
      </c>
      <c r="E9" s="74">
        <v>1</v>
      </c>
      <c r="F9" s="67" t="s">
        <v>230</v>
      </c>
      <c r="G9" s="67" t="s">
        <v>1052</v>
      </c>
      <c r="H9" s="37">
        <f t="shared" si="0"/>
        <v>6</v>
      </c>
      <c r="I9" s="37"/>
    </row>
    <row r="10" spans="1:9">
      <c r="A10" s="37" t="s">
        <v>15</v>
      </c>
      <c r="B10" s="37" t="s">
        <v>16</v>
      </c>
      <c r="C10" s="74" t="s">
        <v>12</v>
      </c>
      <c r="D10" s="74" t="s">
        <v>195</v>
      </c>
      <c r="E10" s="74" t="s">
        <v>228</v>
      </c>
      <c r="F10" s="67" t="s">
        <v>230</v>
      </c>
      <c r="G10" s="67" t="s">
        <v>1052</v>
      </c>
      <c r="H10" s="37">
        <f t="shared" si="0"/>
        <v>7</v>
      </c>
      <c r="I10" s="37"/>
    </row>
    <row r="11" spans="1:9">
      <c r="A11" s="37" t="s">
        <v>17</v>
      </c>
      <c r="B11" s="37" t="s">
        <v>18</v>
      </c>
      <c r="C11" s="74">
        <v>0</v>
      </c>
      <c r="D11" s="74" t="s">
        <v>195</v>
      </c>
      <c r="E11" s="74" t="s">
        <v>228</v>
      </c>
      <c r="F11" s="67" t="s">
        <v>230</v>
      </c>
      <c r="G11" s="67" t="s">
        <v>1052</v>
      </c>
      <c r="H11" s="37">
        <f t="shared" si="0"/>
        <v>8</v>
      </c>
      <c r="I11" s="37"/>
    </row>
    <row r="12" spans="1:9">
      <c r="A12" s="37" t="s">
        <v>3278</v>
      </c>
      <c r="B12" s="37" t="s">
        <v>3279</v>
      </c>
      <c r="C12" s="74">
        <v>1</v>
      </c>
      <c r="D12" s="74">
        <v>0</v>
      </c>
      <c r="E12" s="74">
        <v>1</v>
      </c>
      <c r="F12" s="67" t="s">
        <v>230</v>
      </c>
      <c r="G12" s="67" t="s">
        <v>1052</v>
      </c>
      <c r="H12" s="37">
        <f t="shared" si="0"/>
        <v>9</v>
      </c>
      <c r="I12" s="37"/>
    </row>
    <row r="13" spans="1:9">
      <c r="A13" s="37" t="s">
        <v>19</v>
      </c>
      <c r="B13" s="37" t="s">
        <v>20</v>
      </c>
      <c r="C13" s="74" t="s">
        <v>12</v>
      </c>
      <c r="D13" s="74" t="s">
        <v>195</v>
      </c>
      <c r="E13" s="74" t="s">
        <v>228</v>
      </c>
      <c r="F13" s="67" t="s">
        <v>230</v>
      </c>
      <c r="G13" s="67" t="s">
        <v>1052</v>
      </c>
      <c r="H13" s="37">
        <f t="shared" si="0"/>
        <v>10</v>
      </c>
      <c r="I13" s="37"/>
    </row>
    <row r="14" spans="1:9">
      <c r="A14" s="37" t="s">
        <v>21</v>
      </c>
      <c r="B14" s="37" t="s">
        <v>22</v>
      </c>
      <c r="C14" s="74">
        <v>0</v>
      </c>
      <c r="D14" s="74" t="s">
        <v>195</v>
      </c>
      <c r="E14" s="74" t="s">
        <v>228</v>
      </c>
      <c r="F14" s="67" t="s">
        <v>230</v>
      </c>
      <c r="G14" s="67" t="s">
        <v>1052</v>
      </c>
      <c r="H14" s="37">
        <f t="shared" si="0"/>
        <v>11</v>
      </c>
      <c r="I14" s="37"/>
    </row>
    <row r="15" spans="1:9">
      <c r="A15" s="37" t="s">
        <v>3390</v>
      </c>
      <c r="B15" s="37" t="s">
        <v>3333</v>
      </c>
      <c r="C15" s="74">
        <v>0</v>
      </c>
      <c r="D15" s="74">
        <v>-1</v>
      </c>
      <c r="E15" s="74">
        <v>1</v>
      </c>
      <c r="F15" s="67" t="s">
        <v>230</v>
      </c>
      <c r="G15" s="67" t="s">
        <v>1052</v>
      </c>
      <c r="H15" s="37">
        <f t="shared" si="0"/>
        <v>12</v>
      </c>
      <c r="I15" s="37" t="s">
        <v>3400</v>
      </c>
    </row>
    <row r="16" spans="1:9">
      <c r="A16" s="37" t="s">
        <v>23</v>
      </c>
      <c r="B16" s="37" t="s">
        <v>24</v>
      </c>
      <c r="C16" s="74" t="s">
        <v>25</v>
      </c>
      <c r="D16" s="74" t="s">
        <v>195</v>
      </c>
      <c r="E16" s="74" t="s">
        <v>228</v>
      </c>
      <c r="F16" s="67" t="s">
        <v>230</v>
      </c>
      <c r="G16" s="67" t="s">
        <v>1052</v>
      </c>
      <c r="H16" s="37">
        <f t="shared" si="0"/>
        <v>13</v>
      </c>
      <c r="I16" s="37"/>
    </row>
    <row r="17" spans="1:9">
      <c r="A17" s="37" t="s">
        <v>26</v>
      </c>
      <c r="B17" s="37" t="s">
        <v>27</v>
      </c>
      <c r="C17" s="74" t="s">
        <v>196</v>
      </c>
      <c r="D17" s="74" t="s">
        <v>195</v>
      </c>
      <c r="E17" s="74" t="s">
        <v>228</v>
      </c>
      <c r="F17" s="67" t="s">
        <v>230</v>
      </c>
      <c r="G17" s="67" t="s">
        <v>1052</v>
      </c>
      <c r="H17" s="37">
        <f t="shared" si="0"/>
        <v>14</v>
      </c>
      <c r="I17" s="37"/>
    </row>
    <row r="18" spans="1:9">
      <c r="A18" s="37" t="s">
        <v>28</v>
      </c>
      <c r="B18" s="37" t="s">
        <v>29</v>
      </c>
      <c r="C18" s="74" t="s">
        <v>30</v>
      </c>
      <c r="D18" s="74" t="s">
        <v>195</v>
      </c>
      <c r="E18" s="74" t="s">
        <v>228</v>
      </c>
      <c r="F18" s="67" t="s">
        <v>230</v>
      </c>
      <c r="G18" s="67" t="s">
        <v>1052</v>
      </c>
      <c r="H18" s="37">
        <f t="shared" si="0"/>
        <v>15</v>
      </c>
      <c r="I18" s="37"/>
    </row>
    <row r="19" spans="1:9">
      <c r="A19" s="37" t="s">
        <v>218</v>
      </c>
      <c r="B19" s="37" t="s">
        <v>31</v>
      </c>
      <c r="C19" s="74">
        <v>0</v>
      </c>
      <c r="D19" s="74">
        <v>0</v>
      </c>
      <c r="E19" s="74">
        <v>1</v>
      </c>
      <c r="F19" s="67" t="s">
        <v>230</v>
      </c>
      <c r="G19" s="67" t="s">
        <v>1052</v>
      </c>
      <c r="H19" s="37">
        <f t="shared" si="0"/>
        <v>16</v>
      </c>
      <c r="I19" s="37"/>
    </row>
    <row r="20" spans="1:9">
      <c r="A20" s="37" t="s">
        <v>209</v>
      </c>
      <c r="B20" s="37" t="s">
        <v>32</v>
      </c>
      <c r="C20" s="74">
        <v>1</v>
      </c>
      <c r="D20" s="74">
        <v>0</v>
      </c>
      <c r="E20" s="74">
        <v>1</v>
      </c>
      <c r="F20" s="67" t="s">
        <v>230</v>
      </c>
      <c r="G20" s="67" t="s">
        <v>1052</v>
      </c>
      <c r="H20" s="37">
        <f t="shared" si="0"/>
        <v>17</v>
      </c>
      <c r="I20" s="37"/>
    </row>
    <row r="21" spans="1:9">
      <c r="A21" s="37" t="s">
        <v>33</v>
      </c>
      <c r="B21" s="37" t="s">
        <v>34</v>
      </c>
      <c r="C21" s="74" t="s">
        <v>30</v>
      </c>
      <c r="D21" s="74" t="s">
        <v>4375</v>
      </c>
      <c r="E21" s="74" t="s">
        <v>228</v>
      </c>
      <c r="F21" s="67" t="s">
        <v>230</v>
      </c>
      <c r="G21" s="67" t="s">
        <v>1052</v>
      </c>
      <c r="H21" s="37">
        <f t="shared" si="0"/>
        <v>18</v>
      </c>
      <c r="I21" s="37"/>
    </row>
    <row r="22" spans="1:9">
      <c r="A22" s="37" t="s">
        <v>35</v>
      </c>
      <c r="B22" s="37" t="s">
        <v>36</v>
      </c>
      <c r="C22" s="74">
        <v>0</v>
      </c>
      <c r="D22" s="74" t="s">
        <v>195</v>
      </c>
      <c r="E22" s="74" t="s">
        <v>228</v>
      </c>
      <c r="F22" s="67" t="s">
        <v>230</v>
      </c>
      <c r="G22" s="67" t="s">
        <v>1052</v>
      </c>
      <c r="H22" s="37">
        <f t="shared" si="0"/>
        <v>19</v>
      </c>
      <c r="I22" s="37"/>
    </row>
    <row r="23" spans="1:9">
      <c r="A23" s="37" t="s">
        <v>3298</v>
      </c>
      <c r="B23" s="37" t="s">
        <v>3296</v>
      </c>
      <c r="C23" s="74">
        <v>1</v>
      </c>
      <c r="D23" s="74">
        <v>0</v>
      </c>
      <c r="E23" s="74">
        <v>1</v>
      </c>
      <c r="F23" s="67" t="s">
        <v>230</v>
      </c>
      <c r="G23" s="67" t="s">
        <v>1052</v>
      </c>
      <c r="H23" s="37">
        <f t="shared" si="0"/>
        <v>20</v>
      </c>
      <c r="I23" s="37"/>
    </row>
    <row r="24" spans="1:9">
      <c r="A24" s="37" t="s">
        <v>37</v>
      </c>
      <c r="B24" s="37" t="s">
        <v>38</v>
      </c>
      <c r="C24" s="74" t="s">
        <v>30</v>
      </c>
      <c r="D24" s="74" t="s">
        <v>195</v>
      </c>
      <c r="E24" s="74" t="s">
        <v>228</v>
      </c>
      <c r="F24" s="67" t="s">
        <v>230</v>
      </c>
      <c r="G24" s="67" t="s">
        <v>1052</v>
      </c>
      <c r="H24" s="37">
        <f t="shared" si="0"/>
        <v>21</v>
      </c>
      <c r="I24" s="37"/>
    </row>
    <row r="25" spans="1:9">
      <c r="A25" s="37" t="s">
        <v>39</v>
      </c>
      <c r="B25" s="37" t="s">
        <v>40</v>
      </c>
      <c r="C25" s="74">
        <v>0</v>
      </c>
      <c r="D25" s="74" t="s">
        <v>195</v>
      </c>
      <c r="E25" s="74" t="s">
        <v>228</v>
      </c>
      <c r="F25" s="67" t="s">
        <v>230</v>
      </c>
      <c r="G25" s="67" t="s">
        <v>1052</v>
      </c>
      <c r="H25" s="37">
        <f t="shared" si="0"/>
        <v>22</v>
      </c>
      <c r="I25" s="37"/>
    </row>
    <row r="26" spans="1:9">
      <c r="A26" s="37" t="s">
        <v>3391</v>
      </c>
      <c r="B26" s="37" t="s">
        <v>3334</v>
      </c>
      <c r="C26" s="74">
        <v>0</v>
      </c>
      <c r="D26" s="74">
        <v>-1</v>
      </c>
      <c r="E26" s="74">
        <v>1</v>
      </c>
      <c r="F26" s="67" t="s">
        <v>230</v>
      </c>
      <c r="G26" s="67" t="s">
        <v>1052</v>
      </c>
      <c r="H26" s="37">
        <f t="shared" si="0"/>
        <v>23</v>
      </c>
      <c r="I26" s="37" t="s">
        <v>3400</v>
      </c>
    </row>
    <row r="27" spans="1:9">
      <c r="A27" s="37" t="s">
        <v>41</v>
      </c>
      <c r="B27" s="37" t="s">
        <v>42</v>
      </c>
      <c r="C27" s="74" t="s">
        <v>43</v>
      </c>
      <c r="D27" s="74" t="s">
        <v>195</v>
      </c>
      <c r="E27" s="74" t="s">
        <v>228</v>
      </c>
      <c r="F27" s="67" t="s">
        <v>230</v>
      </c>
      <c r="G27" s="67" t="s">
        <v>1052</v>
      </c>
      <c r="H27" s="37">
        <f t="shared" si="0"/>
        <v>24</v>
      </c>
      <c r="I27" s="37"/>
    </row>
    <row r="28" spans="1:9">
      <c r="A28" s="37" t="s">
        <v>44</v>
      </c>
      <c r="B28" s="37" t="s">
        <v>45</v>
      </c>
      <c r="C28" s="74" t="s">
        <v>196</v>
      </c>
      <c r="D28" s="74" t="s">
        <v>195</v>
      </c>
      <c r="E28" s="74" t="s">
        <v>228</v>
      </c>
      <c r="F28" s="67" t="s">
        <v>230</v>
      </c>
      <c r="G28" s="67" t="s">
        <v>1052</v>
      </c>
      <c r="H28" s="37">
        <f t="shared" si="0"/>
        <v>25</v>
      </c>
      <c r="I28" s="37"/>
    </row>
    <row r="29" spans="1:9">
      <c r="A29" s="37" t="s">
        <v>46</v>
      </c>
      <c r="B29" s="37" t="s">
        <v>47</v>
      </c>
      <c r="C29" s="74" t="s">
        <v>48</v>
      </c>
      <c r="D29" s="74" t="s">
        <v>195</v>
      </c>
      <c r="E29" s="74" t="s">
        <v>228</v>
      </c>
      <c r="F29" s="67" t="s">
        <v>230</v>
      </c>
      <c r="G29" s="67" t="s">
        <v>1052</v>
      </c>
      <c r="H29" s="37">
        <f t="shared" si="0"/>
        <v>26</v>
      </c>
      <c r="I29" s="37"/>
    </row>
    <row r="30" spans="1:9">
      <c r="A30" s="37" t="s">
        <v>219</v>
      </c>
      <c r="B30" s="37" t="s">
        <v>49</v>
      </c>
      <c r="C30" s="74">
        <v>0</v>
      </c>
      <c r="D30" s="74">
        <v>0</v>
      </c>
      <c r="E30" s="74">
        <v>1</v>
      </c>
      <c r="F30" s="67" t="s">
        <v>230</v>
      </c>
      <c r="G30" s="67" t="s">
        <v>1052</v>
      </c>
      <c r="H30" s="37">
        <f t="shared" si="0"/>
        <v>27</v>
      </c>
      <c r="I30" s="37"/>
    </row>
    <row r="31" spans="1:9">
      <c r="A31" s="37" t="s">
        <v>210</v>
      </c>
      <c r="B31" s="37" t="s">
        <v>50</v>
      </c>
      <c r="C31" s="74">
        <v>1</v>
      </c>
      <c r="D31" s="74">
        <v>0</v>
      </c>
      <c r="E31" s="74">
        <v>1</v>
      </c>
      <c r="F31" s="67" t="s">
        <v>230</v>
      </c>
      <c r="G31" s="67" t="s">
        <v>1052</v>
      </c>
      <c r="H31" s="37">
        <f t="shared" si="0"/>
        <v>28</v>
      </c>
      <c r="I31" s="37"/>
    </row>
    <row r="32" spans="1:9">
      <c r="A32" s="37" t="s">
        <v>51</v>
      </c>
      <c r="B32" s="37" t="s">
        <v>52</v>
      </c>
      <c r="C32" s="74" t="s">
        <v>48</v>
      </c>
      <c r="D32" s="74" t="s">
        <v>195</v>
      </c>
      <c r="E32" s="74" t="s">
        <v>228</v>
      </c>
      <c r="F32" s="67" t="s">
        <v>230</v>
      </c>
      <c r="G32" s="67" t="s">
        <v>1052</v>
      </c>
      <c r="H32" s="37">
        <f t="shared" si="0"/>
        <v>29</v>
      </c>
      <c r="I32" s="37"/>
    </row>
    <row r="33" spans="1:9">
      <c r="A33" s="37" t="s">
        <v>53</v>
      </c>
      <c r="B33" s="37" t="s">
        <v>54</v>
      </c>
      <c r="C33" s="74">
        <v>0</v>
      </c>
      <c r="D33" s="74" t="s">
        <v>195</v>
      </c>
      <c r="E33" s="74" t="s">
        <v>228</v>
      </c>
      <c r="F33" s="67" t="s">
        <v>230</v>
      </c>
      <c r="G33" s="67" t="s">
        <v>1052</v>
      </c>
      <c r="H33" s="37">
        <f t="shared" si="0"/>
        <v>30</v>
      </c>
      <c r="I33" s="37"/>
    </row>
    <row r="34" spans="1:9">
      <c r="A34" s="37" t="s">
        <v>3295</v>
      </c>
      <c r="B34" s="37" t="s">
        <v>3294</v>
      </c>
      <c r="C34" s="74">
        <v>1</v>
      </c>
      <c r="D34" s="74">
        <v>0</v>
      </c>
      <c r="E34" s="74">
        <v>1</v>
      </c>
      <c r="F34" s="67" t="s">
        <v>230</v>
      </c>
      <c r="G34" s="67" t="s">
        <v>1052</v>
      </c>
      <c r="H34" s="37">
        <f t="shared" si="0"/>
        <v>31</v>
      </c>
      <c r="I34" s="37"/>
    </row>
    <row r="35" spans="1:9">
      <c r="A35" s="37" t="s">
        <v>55</v>
      </c>
      <c r="B35" s="37" t="s">
        <v>56</v>
      </c>
      <c r="C35" s="74" t="s">
        <v>48</v>
      </c>
      <c r="D35" s="74" t="s">
        <v>195</v>
      </c>
      <c r="E35" s="74" t="s">
        <v>228</v>
      </c>
      <c r="F35" s="67" t="s">
        <v>230</v>
      </c>
      <c r="G35" s="67" t="s">
        <v>1052</v>
      </c>
      <c r="H35" s="37">
        <f t="shared" si="0"/>
        <v>32</v>
      </c>
      <c r="I35" s="37"/>
    </row>
    <row r="36" spans="1:9">
      <c r="A36" s="37" t="s">
        <v>57</v>
      </c>
      <c r="B36" s="37" t="s">
        <v>58</v>
      </c>
      <c r="C36" s="74">
        <v>0</v>
      </c>
      <c r="D36" s="74" t="s">
        <v>195</v>
      </c>
      <c r="E36" s="74" t="s">
        <v>228</v>
      </c>
      <c r="F36" s="67" t="s">
        <v>230</v>
      </c>
      <c r="G36" s="67" t="s">
        <v>1052</v>
      </c>
      <c r="H36" s="37">
        <f t="shared" si="0"/>
        <v>33</v>
      </c>
      <c r="I36" s="37"/>
    </row>
    <row r="37" spans="1:9">
      <c r="A37" s="37" t="s">
        <v>3392</v>
      </c>
      <c r="B37" s="37" t="s">
        <v>3335</v>
      </c>
      <c r="C37" s="74">
        <v>0</v>
      </c>
      <c r="D37" s="74">
        <v>-1</v>
      </c>
      <c r="E37" s="74">
        <v>1</v>
      </c>
      <c r="F37" s="67" t="s">
        <v>230</v>
      </c>
      <c r="G37" s="67" t="s">
        <v>1052</v>
      </c>
      <c r="H37" s="37">
        <f t="shared" si="0"/>
        <v>34</v>
      </c>
      <c r="I37" s="37" t="s">
        <v>3400</v>
      </c>
    </row>
    <row r="38" spans="1:9">
      <c r="A38" s="37" t="s">
        <v>59</v>
      </c>
      <c r="B38" s="37" t="s">
        <v>60</v>
      </c>
      <c r="C38" s="74" t="s">
        <v>61</v>
      </c>
      <c r="D38" s="74" t="s">
        <v>195</v>
      </c>
      <c r="E38" s="74" t="s">
        <v>228</v>
      </c>
      <c r="F38" s="67" t="s">
        <v>230</v>
      </c>
      <c r="G38" s="67" t="s">
        <v>1052</v>
      </c>
      <c r="H38" s="37">
        <f t="shared" si="0"/>
        <v>35</v>
      </c>
      <c r="I38" s="37"/>
    </row>
    <row r="39" spans="1:9">
      <c r="A39" s="37" t="s">
        <v>62</v>
      </c>
      <c r="B39" s="37" t="s">
        <v>63</v>
      </c>
      <c r="C39" s="74" t="s">
        <v>196</v>
      </c>
      <c r="D39" s="74" t="s">
        <v>195</v>
      </c>
      <c r="E39" s="74" t="s">
        <v>228</v>
      </c>
      <c r="F39" s="67" t="s">
        <v>230</v>
      </c>
      <c r="G39" s="67" t="s">
        <v>1052</v>
      </c>
      <c r="H39" s="37">
        <f t="shared" si="0"/>
        <v>36</v>
      </c>
      <c r="I39" s="37"/>
    </row>
    <row r="40" spans="1:9">
      <c r="A40" s="37" t="s">
        <v>64</v>
      </c>
      <c r="B40" s="37" t="s">
        <v>65</v>
      </c>
      <c r="C40" s="74" t="s">
        <v>66</v>
      </c>
      <c r="D40" s="74" t="s">
        <v>195</v>
      </c>
      <c r="E40" s="74" t="s">
        <v>228</v>
      </c>
      <c r="F40" s="67" t="s">
        <v>230</v>
      </c>
      <c r="G40" s="67" t="s">
        <v>1052</v>
      </c>
      <c r="H40" s="37">
        <f t="shared" si="0"/>
        <v>37</v>
      </c>
      <c r="I40" s="37"/>
    </row>
    <row r="41" spans="1:9">
      <c r="A41" s="37" t="s">
        <v>220</v>
      </c>
      <c r="B41" s="37" t="s">
        <v>67</v>
      </c>
      <c r="C41" s="74">
        <v>0</v>
      </c>
      <c r="D41" s="74">
        <v>0</v>
      </c>
      <c r="E41" s="74">
        <v>1</v>
      </c>
      <c r="F41" s="67" t="s">
        <v>230</v>
      </c>
      <c r="G41" s="67" t="s">
        <v>1052</v>
      </c>
      <c r="H41" s="37">
        <f t="shared" si="0"/>
        <v>38</v>
      </c>
      <c r="I41" s="37"/>
    </row>
    <row r="42" spans="1:9">
      <c r="A42" s="37" t="s">
        <v>211</v>
      </c>
      <c r="B42" s="37" t="s">
        <v>68</v>
      </c>
      <c r="C42" s="74">
        <v>1</v>
      </c>
      <c r="D42" s="74">
        <v>0</v>
      </c>
      <c r="E42" s="74">
        <v>1</v>
      </c>
      <c r="F42" s="67" t="s">
        <v>230</v>
      </c>
      <c r="G42" s="67" t="s">
        <v>1052</v>
      </c>
      <c r="H42" s="37">
        <f t="shared" si="0"/>
        <v>39</v>
      </c>
      <c r="I42" s="37"/>
    </row>
    <row r="43" spans="1:9">
      <c r="A43" s="37" t="s">
        <v>69</v>
      </c>
      <c r="B43" s="37" t="s">
        <v>70</v>
      </c>
      <c r="C43" s="74" t="s">
        <v>66</v>
      </c>
      <c r="D43" s="74" t="s">
        <v>195</v>
      </c>
      <c r="E43" s="74" t="s">
        <v>228</v>
      </c>
      <c r="F43" s="67" t="s">
        <v>230</v>
      </c>
      <c r="G43" s="67" t="s">
        <v>1052</v>
      </c>
      <c r="H43" s="37">
        <f t="shared" si="0"/>
        <v>40</v>
      </c>
      <c r="I43" s="37"/>
    </row>
    <row r="44" spans="1:9">
      <c r="A44" s="37" t="s">
        <v>71</v>
      </c>
      <c r="B44" s="37" t="s">
        <v>72</v>
      </c>
      <c r="C44" s="74">
        <v>0</v>
      </c>
      <c r="D44" s="74" t="s">
        <v>195</v>
      </c>
      <c r="E44" s="74" t="s">
        <v>228</v>
      </c>
      <c r="F44" s="67" t="s">
        <v>230</v>
      </c>
      <c r="G44" s="67" t="s">
        <v>1052</v>
      </c>
      <c r="H44" s="37">
        <f t="shared" si="0"/>
        <v>41</v>
      </c>
      <c r="I44" s="37"/>
    </row>
    <row r="45" spans="1:9">
      <c r="A45" s="37" t="s">
        <v>3292</v>
      </c>
      <c r="B45" s="37" t="s">
        <v>3293</v>
      </c>
      <c r="C45" s="74">
        <v>1</v>
      </c>
      <c r="D45" s="74">
        <v>0</v>
      </c>
      <c r="E45" s="74">
        <v>1</v>
      </c>
      <c r="F45" s="67" t="s">
        <v>230</v>
      </c>
      <c r="G45" s="67" t="s">
        <v>1052</v>
      </c>
      <c r="H45" s="37">
        <f t="shared" si="0"/>
        <v>42</v>
      </c>
      <c r="I45" s="37"/>
    </row>
    <row r="46" spans="1:9">
      <c r="A46" s="37" t="s">
        <v>73</v>
      </c>
      <c r="B46" s="37" t="s">
        <v>74</v>
      </c>
      <c r="C46" s="74" t="s">
        <v>66</v>
      </c>
      <c r="D46" s="74" t="s">
        <v>195</v>
      </c>
      <c r="E46" s="74" t="s">
        <v>228</v>
      </c>
      <c r="F46" s="67" t="s">
        <v>230</v>
      </c>
      <c r="G46" s="67" t="s">
        <v>1052</v>
      </c>
      <c r="H46" s="37">
        <f t="shared" si="0"/>
        <v>43</v>
      </c>
      <c r="I46" s="37"/>
    </row>
    <row r="47" spans="1:9">
      <c r="A47" s="37" t="s">
        <v>75</v>
      </c>
      <c r="B47" s="37" t="s">
        <v>76</v>
      </c>
      <c r="C47" s="74">
        <v>0</v>
      </c>
      <c r="D47" s="74" t="s">
        <v>195</v>
      </c>
      <c r="E47" s="74" t="s">
        <v>228</v>
      </c>
      <c r="F47" s="67" t="s">
        <v>230</v>
      </c>
      <c r="G47" s="67" t="s">
        <v>1052</v>
      </c>
      <c r="H47" s="37">
        <f t="shared" si="0"/>
        <v>44</v>
      </c>
      <c r="I47" s="37"/>
    </row>
    <row r="48" spans="1:9">
      <c r="A48" s="37" t="s">
        <v>3393</v>
      </c>
      <c r="B48" s="37" t="s">
        <v>3336</v>
      </c>
      <c r="C48" s="74">
        <v>1</v>
      </c>
      <c r="D48" s="74">
        <v>-1</v>
      </c>
      <c r="E48" s="74">
        <v>1</v>
      </c>
      <c r="F48" s="67" t="s">
        <v>230</v>
      </c>
      <c r="G48" s="67" t="s">
        <v>1052</v>
      </c>
      <c r="H48" s="37">
        <f t="shared" si="0"/>
        <v>45</v>
      </c>
      <c r="I48" s="37" t="s">
        <v>3400</v>
      </c>
    </row>
    <row r="49" spans="1:9">
      <c r="A49" s="37" t="s">
        <v>77</v>
      </c>
      <c r="B49" s="37" t="s">
        <v>78</v>
      </c>
      <c r="C49" s="74" t="s">
        <v>79</v>
      </c>
      <c r="D49" s="74" t="s">
        <v>195</v>
      </c>
      <c r="E49" s="74" t="s">
        <v>228</v>
      </c>
      <c r="F49" s="67" t="s">
        <v>230</v>
      </c>
      <c r="G49" s="67" t="s">
        <v>1052</v>
      </c>
      <c r="H49" s="37">
        <f t="shared" si="0"/>
        <v>46</v>
      </c>
      <c r="I49" s="37"/>
    </row>
    <row r="50" spans="1:9">
      <c r="A50" s="37" t="s">
        <v>80</v>
      </c>
      <c r="B50" s="37" t="s">
        <v>81</v>
      </c>
      <c r="C50" s="74" t="s">
        <v>196</v>
      </c>
      <c r="D50" s="74" t="s">
        <v>195</v>
      </c>
      <c r="E50" s="74" t="s">
        <v>228</v>
      </c>
      <c r="F50" s="67" t="s">
        <v>230</v>
      </c>
      <c r="G50" s="67" t="s">
        <v>1052</v>
      </c>
      <c r="H50" s="37">
        <f t="shared" si="0"/>
        <v>47</v>
      </c>
      <c r="I50" s="37"/>
    </row>
    <row r="51" spans="1:9">
      <c r="A51" s="37" t="s">
        <v>82</v>
      </c>
      <c r="B51" s="37" t="s">
        <v>83</v>
      </c>
      <c r="C51" s="74" t="s">
        <v>84</v>
      </c>
      <c r="D51" s="74" t="s">
        <v>195</v>
      </c>
      <c r="E51" s="74" t="s">
        <v>228</v>
      </c>
      <c r="F51" s="67" t="s">
        <v>230</v>
      </c>
      <c r="G51" s="67" t="s">
        <v>1052</v>
      </c>
      <c r="H51" s="37">
        <f t="shared" si="0"/>
        <v>48</v>
      </c>
      <c r="I51" s="37"/>
    </row>
    <row r="52" spans="1:9">
      <c r="A52" s="37" t="s">
        <v>221</v>
      </c>
      <c r="B52" s="37" t="s">
        <v>85</v>
      </c>
      <c r="C52" s="74">
        <v>0</v>
      </c>
      <c r="D52" s="74">
        <v>0</v>
      </c>
      <c r="E52" s="74">
        <v>1</v>
      </c>
      <c r="F52" s="67" t="s">
        <v>230</v>
      </c>
      <c r="G52" s="67" t="s">
        <v>1052</v>
      </c>
      <c r="H52" s="37">
        <f t="shared" si="0"/>
        <v>49</v>
      </c>
      <c r="I52" s="37"/>
    </row>
    <row r="53" spans="1:9">
      <c r="A53" s="37" t="s">
        <v>212</v>
      </c>
      <c r="B53" s="37" t="s">
        <v>86</v>
      </c>
      <c r="C53" s="74">
        <v>1</v>
      </c>
      <c r="D53" s="74">
        <v>0</v>
      </c>
      <c r="E53" s="74">
        <v>1</v>
      </c>
      <c r="F53" s="67" t="s">
        <v>230</v>
      </c>
      <c r="G53" s="67" t="s">
        <v>1052</v>
      </c>
      <c r="H53" s="37">
        <f t="shared" si="0"/>
        <v>50</v>
      </c>
      <c r="I53" s="37"/>
    </row>
    <row r="54" spans="1:9">
      <c r="A54" s="37" t="s">
        <v>87</v>
      </c>
      <c r="B54" s="37" t="s">
        <v>88</v>
      </c>
      <c r="C54" s="74" t="s">
        <v>84</v>
      </c>
      <c r="D54" s="74" t="s">
        <v>195</v>
      </c>
      <c r="E54" s="74" t="s">
        <v>228</v>
      </c>
      <c r="F54" s="67" t="s">
        <v>230</v>
      </c>
      <c r="G54" s="67" t="s">
        <v>1052</v>
      </c>
      <c r="H54" s="37">
        <f t="shared" si="0"/>
        <v>51</v>
      </c>
      <c r="I54" s="37"/>
    </row>
    <row r="55" spans="1:9">
      <c r="A55" s="37" t="s">
        <v>89</v>
      </c>
      <c r="B55" s="37" t="s">
        <v>90</v>
      </c>
      <c r="C55" s="74">
        <v>0</v>
      </c>
      <c r="D55" s="74" t="s">
        <v>195</v>
      </c>
      <c r="E55" s="74" t="s">
        <v>228</v>
      </c>
      <c r="F55" s="67" t="s">
        <v>230</v>
      </c>
      <c r="G55" s="67" t="s">
        <v>1052</v>
      </c>
      <c r="H55" s="37">
        <f t="shared" si="0"/>
        <v>52</v>
      </c>
      <c r="I55" s="37"/>
    </row>
    <row r="56" spans="1:9">
      <c r="A56" s="37" t="s">
        <v>3291</v>
      </c>
      <c r="B56" s="37" t="s">
        <v>3290</v>
      </c>
      <c r="C56" s="74">
        <v>1</v>
      </c>
      <c r="D56" s="74">
        <v>0</v>
      </c>
      <c r="E56" s="74">
        <v>1</v>
      </c>
      <c r="F56" s="67" t="s">
        <v>230</v>
      </c>
      <c r="G56" s="67" t="s">
        <v>1052</v>
      </c>
      <c r="H56" s="37">
        <f t="shared" si="0"/>
        <v>53</v>
      </c>
      <c r="I56" s="37"/>
    </row>
    <row r="57" spans="1:9">
      <c r="A57" s="37" t="s">
        <v>91</v>
      </c>
      <c r="B57" s="37" t="s">
        <v>92</v>
      </c>
      <c r="C57" s="74" t="s">
        <v>84</v>
      </c>
      <c r="D57" s="74" t="s">
        <v>195</v>
      </c>
      <c r="E57" s="74" t="s">
        <v>228</v>
      </c>
      <c r="F57" s="67" t="s">
        <v>230</v>
      </c>
      <c r="G57" s="67" t="s">
        <v>1052</v>
      </c>
      <c r="H57" s="37">
        <f t="shared" si="0"/>
        <v>54</v>
      </c>
      <c r="I57" s="37"/>
    </row>
    <row r="58" spans="1:9">
      <c r="A58" s="37" t="s">
        <v>93</v>
      </c>
      <c r="B58" s="37" t="s">
        <v>94</v>
      </c>
      <c r="C58" s="74">
        <v>0</v>
      </c>
      <c r="D58" s="74" t="s">
        <v>195</v>
      </c>
      <c r="E58" s="74" t="s">
        <v>228</v>
      </c>
      <c r="F58" s="67" t="s">
        <v>230</v>
      </c>
      <c r="G58" s="67" t="s">
        <v>1052</v>
      </c>
      <c r="H58" s="37">
        <f t="shared" si="0"/>
        <v>55</v>
      </c>
      <c r="I58" s="37"/>
    </row>
    <row r="59" spans="1:9">
      <c r="A59" s="37" t="s">
        <v>3394</v>
      </c>
      <c r="B59" s="37" t="s">
        <v>3337</v>
      </c>
      <c r="C59" s="74">
        <v>-1</v>
      </c>
      <c r="D59" s="74">
        <v>-1</v>
      </c>
      <c r="E59" s="74">
        <v>1</v>
      </c>
      <c r="F59" s="67" t="s">
        <v>230</v>
      </c>
      <c r="G59" s="67" t="s">
        <v>1052</v>
      </c>
      <c r="H59" s="37">
        <f t="shared" si="0"/>
        <v>56</v>
      </c>
      <c r="I59" s="37" t="s">
        <v>3400</v>
      </c>
    </row>
    <row r="60" spans="1:9">
      <c r="A60" s="37" t="s">
        <v>95</v>
      </c>
      <c r="B60" s="37" t="s">
        <v>96</v>
      </c>
      <c r="C60" s="74" t="s">
        <v>97</v>
      </c>
      <c r="D60" s="74" t="s">
        <v>195</v>
      </c>
      <c r="E60" s="74" t="s">
        <v>228</v>
      </c>
      <c r="F60" s="67" t="s">
        <v>230</v>
      </c>
      <c r="G60" s="67" t="s">
        <v>1052</v>
      </c>
      <c r="H60" s="37">
        <f t="shared" si="0"/>
        <v>57</v>
      </c>
      <c r="I60" s="37"/>
    </row>
    <row r="61" spans="1:9">
      <c r="A61" s="37" t="s">
        <v>98</v>
      </c>
      <c r="B61" s="37" t="s">
        <v>99</v>
      </c>
      <c r="C61" s="74" t="s">
        <v>196</v>
      </c>
      <c r="D61" s="74" t="s">
        <v>195</v>
      </c>
      <c r="E61" s="74" t="s">
        <v>228</v>
      </c>
      <c r="F61" s="67" t="s">
        <v>230</v>
      </c>
      <c r="G61" s="67" t="s">
        <v>1052</v>
      </c>
      <c r="H61" s="37">
        <f t="shared" si="0"/>
        <v>58</v>
      </c>
      <c r="I61" s="37"/>
    </row>
    <row r="62" spans="1:9">
      <c r="A62" s="37" t="s">
        <v>100</v>
      </c>
      <c r="B62" s="37" t="s">
        <v>101</v>
      </c>
      <c r="C62" s="74" t="s">
        <v>102</v>
      </c>
      <c r="D62" s="74" t="s">
        <v>195</v>
      </c>
      <c r="E62" s="74" t="s">
        <v>228</v>
      </c>
      <c r="F62" s="67" t="s">
        <v>230</v>
      </c>
      <c r="G62" s="67" t="s">
        <v>1052</v>
      </c>
      <c r="H62" s="37">
        <f t="shared" si="0"/>
        <v>59</v>
      </c>
      <c r="I62" s="37"/>
    </row>
    <row r="63" spans="1:9">
      <c r="A63" s="37" t="s">
        <v>222</v>
      </c>
      <c r="B63" s="37" t="s">
        <v>103</v>
      </c>
      <c r="C63" s="74">
        <v>0</v>
      </c>
      <c r="D63" s="74">
        <v>0</v>
      </c>
      <c r="E63" s="74">
        <v>1</v>
      </c>
      <c r="F63" s="67" t="s">
        <v>230</v>
      </c>
      <c r="G63" s="67" t="s">
        <v>1052</v>
      </c>
      <c r="H63" s="37">
        <f t="shared" si="0"/>
        <v>60</v>
      </c>
      <c r="I63" s="37"/>
    </row>
    <row r="64" spans="1:9">
      <c r="A64" s="37" t="s">
        <v>213</v>
      </c>
      <c r="B64" s="37" t="s">
        <v>104</v>
      </c>
      <c r="C64" s="74">
        <v>1</v>
      </c>
      <c r="D64" s="74">
        <v>0</v>
      </c>
      <c r="E64" s="74">
        <v>1</v>
      </c>
      <c r="F64" s="67" t="s">
        <v>230</v>
      </c>
      <c r="G64" s="67" t="s">
        <v>1052</v>
      </c>
      <c r="H64" s="37">
        <f t="shared" si="0"/>
        <v>61</v>
      </c>
      <c r="I64" s="37"/>
    </row>
    <row r="65" spans="1:9">
      <c r="A65" s="37" t="s">
        <v>105</v>
      </c>
      <c r="B65" s="37" t="s">
        <v>106</v>
      </c>
      <c r="C65" s="74" t="s">
        <v>102</v>
      </c>
      <c r="D65" s="74" t="s">
        <v>195</v>
      </c>
      <c r="E65" s="74" t="s">
        <v>228</v>
      </c>
      <c r="F65" s="67" t="s">
        <v>230</v>
      </c>
      <c r="G65" s="67" t="s">
        <v>1052</v>
      </c>
      <c r="H65" s="37">
        <f t="shared" si="0"/>
        <v>62</v>
      </c>
      <c r="I65" s="37"/>
    </row>
    <row r="66" spans="1:9">
      <c r="A66" s="37" t="s">
        <v>107</v>
      </c>
      <c r="B66" s="37" t="s">
        <v>108</v>
      </c>
      <c r="C66" s="74">
        <v>0</v>
      </c>
      <c r="D66" s="74" t="s">
        <v>195</v>
      </c>
      <c r="E66" s="74" t="s">
        <v>228</v>
      </c>
      <c r="F66" s="67" t="s">
        <v>230</v>
      </c>
      <c r="G66" s="67" t="s">
        <v>1052</v>
      </c>
      <c r="H66" s="37">
        <f t="shared" si="0"/>
        <v>63</v>
      </c>
      <c r="I66" s="37"/>
    </row>
    <row r="67" spans="1:9">
      <c r="A67" s="37" t="s">
        <v>3288</v>
      </c>
      <c r="B67" s="37" t="s">
        <v>3289</v>
      </c>
      <c r="C67" s="74">
        <v>1</v>
      </c>
      <c r="D67" s="74">
        <v>0</v>
      </c>
      <c r="E67" s="74">
        <v>1</v>
      </c>
      <c r="F67" s="67" t="s">
        <v>230</v>
      </c>
      <c r="G67" s="67" t="s">
        <v>1052</v>
      </c>
      <c r="H67" s="37">
        <f t="shared" si="0"/>
        <v>64</v>
      </c>
      <c r="I67" s="37"/>
    </row>
    <row r="68" spans="1:9">
      <c r="A68" s="37" t="s">
        <v>109</v>
      </c>
      <c r="B68" s="37" t="s">
        <v>110</v>
      </c>
      <c r="C68" s="74" t="s">
        <v>102</v>
      </c>
      <c r="D68" s="74" t="s">
        <v>195</v>
      </c>
      <c r="E68" s="74" t="s">
        <v>228</v>
      </c>
      <c r="F68" s="67" t="s">
        <v>230</v>
      </c>
      <c r="G68" s="67" t="s">
        <v>1052</v>
      </c>
      <c r="H68" s="37">
        <f t="shared" ref="H68:H131" si="1">ROW()-3</f>
        <v>65</v>
      </c>
      <c r="I68" s="37"/>
    </row>
    <row r="69" spans="1:9">
      <c r="A69" s="37" t="s">
        <v>111</v>
      </c>
      <c r="B69" s="37" t="s">
        <v>112</v>
      </c>
      <c r="C69" s="74">
        <v>0</v>
      </c>
      <c r="D69" s="74" t="s">
        <v>195</v>
      </c>
      <c r="E69" s="74" t="s">
        <v>228</v>
      </c>
      <c r="F69" s="67" t="s">
        <v>230</v>
      </c>
      <c r="G69" s="67" t="s">
        <v>1052</v>
      </c>
      <c r="H69" s="37">
        <f t="shared" si="1"/>
        <v>66</v>
      </c>
      <c r="I69" s="37"/>
    </row>
    <row r="70" spans="1:9">
      <c r="A70" s="37" t="s">
        <v>3395</v>
      </c>
      <c r="B70" s="37" t="s">
        <v>3338</v>
      </c>
      <c r="C70" s="74">
        <v>-1</v>
      </c>
      <c r="D70" s="74">
        <v>-1</v>
      </c>
      <c r="E70" s="74">
        <v>1</v>
      </c>
      <c r="F70" s="67" t="s">
        <v>230</v>
      </c>
      <c r="G70" s="67" t="s">
        <v>1052</v>
      </c>
      <c r="H70" s="37">
        <f t="shared" si="1"/>
        <v>67</v>
      </c>
      <c r="I70" s="37" t="s">
        <v>3400</v>
      </c>
    </row>
    <row r="71" spans="1:9">
      <c r="A71" s="37" t="s">
        <v>113</v>
      </c>
      <c r="B71" s="37" t="s">
        <v>114</v>
      </c>
      <c r="C71" s="74" t="s">
        <v>115</v>
      </c>
      <c r="D71" s="74" t="s">
        <v>195</v>
      </c>
      <c r="E71" s="74" t="s">
        <v>228</v>
      </c>
      <c r="F71" s="67" t="s">
        <v>230</v>
      </c>
      <c r="G71" s="67" t="s">
        <v>1052</v>
      </c>
      <c r="H71" s="37">
        <f t="shared" si="1"/>
        <v>68</v>
      </c>
      <c r="I71" s="37"/>
    </row>
    <row r="72" spans="1:9">
      <c r="A72" s="37" t="s">
        <v>116</v>
      </c>
      <c r="B72" s="37" t="s">
        <v>117</v>
      </c>
      <c r="C72" s="74" t="s">
        <v>196</v>
      </c>
      <c r="D72" s="74" t="s">
        <v>195</v>
      </c>
      <c r="E72" s="74" t="s">
        <v>228</v>
      </c>
      <c r="F72" s="67" t="s">
        <v>230</v>
      </c>
      <c r="G72" s="67" t="s">
        <v>1052</v>
      </c>
      <c r="H72" s="37">
        <f t="shared" si="1"/>
        <v>69</v>
      </c>
      <c r="I72" s="37"/>
    </row>
    <row r="73" spans="1:9">
      <c r="A73" s="37" t="s">
        <v>118</v>
      </c>
      <c r="B73" s="37" t="s">
        <v>119</v>
      </c>
      <c r="C73" s="74" t="s">
        <v>120</v>
      </c>
      <c r="D73" s="74" t="s">
        <v>195</v>
      </c>
      <c r="E73" s="74" t="s">
        <v>228</v>
      </c>
      <c r="F73" s="67" t="s">
        <v>230</v>
      </c>
      <c r="G73" s="67" t="s">
        <v>1052</v>
      </c>
      <c r="H73" s="37">
        <f t="shared" si="1"/>
        <v>70</v>
      </c>
      <c r="I73" s="37"/>
    </row>
    <row r="74" spans="1:9">
      <c r="A74" s="37" t="s">
        <v>223</v>
      </c>
      <c r="B74" s="37" t="s">
        <v>121</v>
      </c>
      <c r="C74" s="74">
        <v>0</v>
      </c>
      <c r="D74" s="74">
        <v>0</v>
      </c>
      <c r="E74" s="74">
        <v>1</v>
      </c>
      <c r="F74" s="67" t="s">
        <v>230</v>
      </c>
      <c r="G74" s="67" t="s">
        <v>1052</v>
      </c>
      <c r="H74" s="37">
        <f t="shared" si="1"/>
        <v>71</v>
      </c>
      <c r="I74" s="37"/>
    </row>
    <row r="75" spans="1:9">
      <c r="A75" s="37" t="s">
        <v>214</v>
      </c>
      <c r="B75" s="37" t="s">
        <v>122</v>
      </c>
      <c r="C75" s="74">
        <v>1</v>
      </c>
      <c r="D75" s="74">
        <v>0</v>
      </c>
      <c r="E75" s="74">
        <v>1</v>
      </c>
      <c r="F75" s="67" t="s">
        <v>230</v>
      </c>
      <c r="G75" s="67" t="s">
        <v>1052</v>
      </c>
      <c r="H75" s="37">
        <f t="shared" si="1"/>
        <v>72</v>
      </c>
      <c r="I75" s="37"/>
    </row>
    <row r="76" spans="1:9">
      <c r="A76" s="37" t="s">
        <v>123</v>
      </c>
      <c r="B76" s="37" t="s">
        <v>124</v>
      </c>
      <c r="C76" s="74" t="s">
        <v>120</v>
      </c>
      <c r="D76" s="74" t="s">
        <v>195</v>
      </c>
      <c r="E76" s="74" t="s">
        <v>228</v>
      </c>
      <c r="F76" s="67" t="s">
        <v>230</v>
      </c>
      <c r="G76" s="67" t="s">
        <v>1052</v>
      </c>
      <c r="H76" s="37">
        <f t="shared" si="1"/>
        <v>73</v>
      </c>
      <c r="I76" s="37"/>
    </row>
    <row r="77" spans="1:9">
      <c r="A77" s="37" t="s">
        <v>125</v>
      </c>
      <c r="B77" s="37" t="s">
        <v>126</v>
      </c>
      <c r="C77" s="74">
        <v>0</v>
      </c>
      <c r="D77" s="74" t="s">
        <v>195</v>
      </c>
      <c r="E77" s="74" t="s">
        <v>228</v>
      </c>
      <c r="F77" s="67" t="s">
        <v>230</v>
      </c>
      <c r="G77" s="67" t="s">
        <v>1052</v>
      </c>
      <c r="H77" s="37">
        <f t="shared" si="1"/>
        <v>74</v>
      </c>
      <c r="I77" s="37"/>
    </row>
    <row r="78" spans="1:9">
      <c r="A78" s="37" t="s">
        <v>3287</v>
      </c>
      <c r="B78" s="37" t="s">
        <v>3286</v>
      </c>
      <c r="C78" s="74">
        <v>1</v>
      </c>
      <c r="D78" s="74">
        <v>0</v>
      </c>
      <c r="E78" s="74">
        <v>1</v>
      </c>
      <c r="F78" s="67" t="s">
        <v>230</v>
      </c>
      <c r="G78" s="67" t="s">
        <v>1052</v>
      </c>
      <c r="H78" s="37">
        <f t="shared" si="1"/>
        <v>75</v>
      </c>
      <c r="I78" s="37"/>
    </row>
    <row r="79" spans="1:9">
      <c r="A79" s="37" t="s">
        <v>127</v>
      </c>
      <c r="B79" s="37" t="s">
        <v>128</v>
      </c>
      <c r="C79" s="74" t="s">
        <v>120</v>
      </c>
      <c r="D79" s="74" t="s">
        <v>195</v>
      </c>
      <c r="E79" s="74" t="s">
        <v>228</v>
      </c>
      <c r="F79" s="67" t="s">
        <v>230</v>
      </c>
      <c r="G79" s="67" t="s">
        <v>1052</v>
      </c>
      <c r="H79" s="37">
        <f t="shared" si="1"/>
        <v>76</v>
      </c>
      <c r="I79" s="37"/>
    </row>
    <row r="80" spans="1:9">
      <c r="A80" s="37" t="s">
        <v>129</v>
      </c>
      <c r="B80" s="37" t="s">
        <v>130</v>
      </c>
      <c r="C80" s="74">
        <v>0</v>
      </c>
      <c r="D80" s="74" t="s">
        <v>195</v>
      </c>
      <c r="E80" s="74" t="s">
        <v>228</v>
      </c>
      <c r="F80" s="67" t="s">
        <v>230</v>
      </c>
      <c r="G80" s="67" t="s">
        <v>1052</v>
      </c>
      <c r="H80" s="37">
        <f t="shared" si="1"/>
        <v>77</v>
      </c>
      <c r="I80" s="37"/>
    </row>
    <row r="81" spans="1:9">
      <c r="A81" s="37" t="s">
        <v>3396</v>
      </c>
      <c r="B81" s="37" t="s">
        <v>3339</v>
      </c>
      <c r="C81" s="74">
        <v>-1</v>
      </c>
      <c r="D81" s="74">
        <v>-1</v>
      </c>
      <c r="E81" s="74">
        <v>1</v>
      </c>
      <c r="F81" s="67" t="s">
        <v>230</v>
      </c>
      <c r="G81" s="67" t="s">
        <v>1052</v>
      </c>
      <c r="H81" s="37">
        <f t="shared" si="1"/>
        <v>78</v>
      </c>
      <c r="I81" s="37" t="s">
        <v>3400</v>
      </c>
    </row>
    <row r="82" spans="1:9">
      <c r="A82" s="37" t="s">
        <v>131</v>
      </c>
      <c r="B82" s="37" t="s">
        <v>132</v>
      </c>
      <c r="C82" s="74" t="s">
        <v>133</v>
      </c>
      <c r="D82" s="74" t="s">
        <v>195</v>
      </c>
      <c r="E82" s="74" t="s">
        <v>228</v>
      </c>
      <c r="F82" s="67" t="s">
        <v>230</v>
      </c>
      <c r="G82" s="67" t="s">
        <v>1052</v>
      </c>
      <c r="H82" s="37">
        <f t="shared" si="1"/>
        <v>79</v>
      </c>
      <c r="I82" s="37"/>
    </row>
    <row r="83" spans="1:9">
      <c r="A83" s="37" t="s">
        <v>134</v>
      </c>
      <c r="B83" s="37" t="s">
        <v>135</v>
      </c>
      <c r="C83" s="74" t="s">
        <v>196</v>
      </c>
      <c r="D83" s="74" t="s">
        <v>195</v>
      </c>
      <c r="E83" s="74" t="s">
        <v>228</v>
      </c>
      <c r="F83" s="67" t="s">
        <v>230</v>
      </c>
      <c r="G83" s="67" t="s">
        <v>1052</v>
      </c>
      <c r="H83" s="37">
        <f t="shared" si="1"/>
        <v>80</v>
      </c>
      <c r="I83" s="37"/>
    </row>
    <row r="84" spans="1:9">
      <c r="A84" s="37" t="s">
        <v>136</v>
      </c>
      <c r="B84" s="37" t="s">
        <v>137</v>
      </c>
      <c r="C84" s="74" t="s">
        <v>138</v>
      </c>
      <c r="D84" s="74" t="s">
        <v>195</v>
      </c>
      <c r="E84" s="74" t="s">
        <v>228</v>
      </c>
      <c r="F84" s="67" t="s">
        <v>230</v>
      </c>
      <c r="G84" s="67" t="s">
        <v>1052</v>
      </c>
      <c r="H84" s="37">
        <f t="shared" si="1"/>
        <v>81</v>
      </c>
      <c r="I84" s="37"/>
    </row>
    <row r="85" spans="1:9">
      <c r="A85" s="37" t="s">
        <v>224</v>
      </c>
      <c r="B85" s="37" t="s">
        <v>139</v>
      </c>
      <c r="C85" s="74">
        <v>0</v>
      </c>
      <c r="D85" s="74">
        <v>0</v>
      </c>
      <c r="E85" s="74">
        <v>1</v>
      </c>
      <c r="F85" s="67" t="s">
        <v>230</v>
      </c>
      <c r="G85" s="67" t="s">
        <v>1052</v>
      </c>
      <c r="H85" s="37">
        <f t="shared" si="1"/>
        <v>82</v>
      </c>
      <c r="I85" s="37"/>
    </row>
    <row r="86" spans="1:9">
      <c r="A86" s="37" t="s">
        <v>215</v>
      </c>
      <c r="B86" s="37" t="s">
        <v>140</v>
      </c>
      <c r="C86" s="74">
        <v>1</v>
      </c>
      <c r="D86" s="74">
        <v>0</v>
      </c>
      <c r="E86" s="74">
        <v>1</v>
      </c>
      <c r="F86" s="67" t="s">
        <v>230</v>
      </c>
      <c r="G86" s="67" t="s">
        <v>1052</v>
      </c>
      <c r="H86" s="37">
        <f t="shared" si="1"/>
        <v>83</v>
      </c>
      <c r="I86" s="37"/>
    </row>
    <row r="87" spans="1:9">
      <c r="A87" s="37" t="s">
        <v>141</v>
      </c>
      <c r="B87" s="37" t="s">
        <v>142</v>
      </c>
      <c r="C87" s="74" t="s">
        <v>138</v>
      </c>
      <c r="D87" s="74" t="s">
        <v>195</v>
      </c>
      <c r="E87" s="74" t="s">
        <v>228</v>
      </c>
      <c r="F87" s="67" t="s">
        <v>230</v>
      </c>
      <c r="G87" s="67" t="s">
        <v>1052</v>
      </c>
      <c r="H87" s="37">
        <f t="shared" si="1"/>
        <v>84</v>
      </c>
      <c r="I87" s="37"/>
    </row>
    <row r="88" spans="1:9">
      <c r="A88" s="37" t="s">
        <v>143</v>
      </c>
      <c r="B88" s="37" t="s">
        <v>144</v>
      </c>
      <c r="C88" s="74">
        <v>0</v>
      </c>
      <c r="D88" s="74" t="s">
        <v>195</v>
      </c>
      <c r="E88" s="74" t="s">
        <v>228</v>
      </c>
      <c r="F88" s="67" t="s">
        <v>230</v>
      </c>
      <c r="G88" s="67" t="s">
        <v>1052</v>
      </c>
      <c r="H88" s="37">
        <f t="shared" si="1"/>
        <v>85</v>
      </c>
      <c r="I88" s="37"/>
    </row>
    <row r="89" spans="1:9">
      <c r="A89" s="37" t="s">
        <v>3284</v>
      </c>
      <c r="B89" s="37" t="s">
        <v>3285</v>
      </c>
      <c r="C89" s="74">
        <v>1</v>
      </c>
      <c r="D89" s="74">
        <v>0</v>
      </c>
      <c r="E89" s="74">
        <v>1</v>
      </c>
      <c r="F89" s="67" t="s">
        <v>230</v>
      </c>
      <c r="G89" s="67" t="s">
        <v>1052</v>
      </c>
      <c r="H89" s="37">
        <f t="shared" si="1"/>
        <v>86</v>
      </c>
      <c r="I89" s="37"/>
    </row>
    <row r="90" spans="1:9">
      <c r="A90" s="37" t="s">
        <v>145</v>
      </c>
      <c r="B90" s="37" t="s">
        <v>146</v>
      </c>
      <c r="C90" s="74" t="s">
        <v>138</v>
      </c>
      <c r="D90" s="74" t="s">
        <v>195</v>
      </c>
      <c r="E90" s="74" t="s">
        <v>228</v>
      </c>
      <c r="F90" s="67" t="s">
        <v>230</v>
      </c>
      <c r="G90" s="67" t="s">
        <v>1052</v>
      </c>
      <c r="H90" s="37">
        <f t="shared" si="1"/>
        <v>87</v>
      </c>
      <c r="I90" s="37"/>
    </row>
    <row r="91" spans="1:9">
      <c r="A91" s="37" t="s">
        <v>147</v>
      </c>
      <c r="B91" s="37" t="s">
        <v>148</v>
      </c>
      <c r="C91" s="74">
        <v>0</v>
      </c>
      <c r="D91" s="74" t="s">
        <v>195</v>
      </c>
      <c r="E91" s="74" t="s">
        <v>228</v>
      </c>
      <c r="F91" s="67" t="s">
        <v>230</v>
      </c>
      <c r="G91" s="67" t="s">
        <v>1052</v>
      </c>
      <c r="H91" s="37">
        <f t="shared" si="1"/>
        <v>88</v>
      </c>
      <c r="I91" s="37"/>
    </row>
    <row r="92" spans="1:9">
      <c r="A92" s="37" t="s">
        <v>3397</v>
      </c>
      <c r="B92" s="37" t="s">
        <v>3340</v>
      </c>
      <c r="C92" s="74">
        <v>-1</v>
      </c>
      <c r="D92" s="74">
        <v>-1</v>
      </c>
      <c r="E92" s="74">
        <v>1</v>
      </c>
      <c r="F92" s="67" t="s">
        <v>230</v>
      </c>
      <c r="G92" s="67" t="s">
        <v>1052</v>
      </c>
      <c r="H92" s="37">
        <f t="shared" si="1"/>
        <v>89</v>
      </c>
      <c r="I92" s="37" t="s">
        <v>3400</v>
      </c>
    </row>
    <row r="93" spans="1:9">
      <c r="A93" s="37" t="s">
        <v>149</v>
      </c>
      <c r="B93" s="37" t="s">
        <v>150</v>
      </c>
      <c r="C93" s="74" t="s">
        <v>151</v>
      </c>
      <c r="D93" s="74" t="s">
        <v>195</v>
      </c>
      <c r="E93" s="74" t="s">
        <v>228</v>
      </c>
      <c r="F93" s="67" t="s">
        <v>230</v>
      </c>
      <c r="G93" s="67" t="s">
        <v>1052</v>
      </c>
      <c r="H93" s="37">
        <f t="shared" si="1"/>
        <v>90</v>
      </c>
      <c r="I93" s="37"/>
    </row>
    <row r="94" spans="1:9">
      <c r="A94" s="37" t="s">
        <v>152</v>
      </c>
      <c r="B94" s="37" t="s">
        <v>153</v>
      </c>
      <c r="C94" s="74" t="s">
        <v>196</v>
      </c>
      <c r="D94" s="74" t="s">
        <v>195</v>
      </c>
      <c r="E94" s="74" t="s">
        <v>228</v>
      </c>
      <c r="F94" s="67" t="s">
        <v>230</v>
      </c>
      <c r="G94" s="67" t="s">
        <v>1052</v>
      </c>
      <c r="H94" s="37">
        <f t="shared" si="1"/>
        <v>91</v>
      </c>
      <c r="I94" s="37"/>
    </row>
    <row r="95" spans="1:9">
      <c r="A95" s="37" t="s">
        <v>154</v>
      </c>
      <c r="B95" s="37" t="s">
        <v>155</v>
      </c>
      <c r="C95" s="74" t="s">
        <v>156</v>
      </c>
      <c r="D95" s="74" t="s">
        <v>195</v>
      </c>
      <c r="E95" s="74" t="s">
        <v>228</v>
      </c>
      <c r="F95" s="67" t="s">
        <v>230</v>
      </c>
      <c r="G95" s="67" t="s">
        <v>1052</v>
      </c>
      <c r="H95" s="37">
        <f t="shared" si="1"/>
        <v>92</v>
      </c>
      <c r="I95" s="37"/>
    </row>
    <row r="96" spans="1:9">
      <c r="A96" s="37" t="s">
        <v>225</v>
      </c>
      <c r="B96" s="37" t="s">
        <v>157</v>
      </c>
      <c r="C96" s="74">
        <v>0</v>
      </c>
      <c r="D96" s="74">
        <v>0</v>
      </c>
      <c r="E96" s="74">
        <v>1</v>
      </c>
      <c r="F96" s="67" t="s">
        <v>230</v>
      </c>
      <c r="G96" s="67" t="s">
        <v>1052</v>
      </c>
      <c r="H96" s="37">
        <f t="shared" si="1"/>
        <v>93</v>
      </c>
      <c r="I96" s="37"/>
    </row>
    <row r="97" spans="1:11">
      <c r="A97" s="37" t="s">
        <v>216</v>
      </c>
      <c r="B97" s="37" t="s">
        <v>158</v>
      </c>
      <c r="C97" s="74">
        <v>1</v>
      </c>
      <c r="D97" s="74">
        <v>0</v>
      </c>
      <c r="E97" s="74">
        <v>1</v>
      </c>
      <c r="F97" s="67" t="s">
        <v>230</v>
      </c>
      <c r="G97" s="67" t="s">
        <v>1052</v>
      </c>
      <c r="H97" s="37">
        <f t="shared" si="1"/>
        <v>94</v>
      </c>
      <c r="I97" s="37"/>
    </row>
    <row r="98" spans="1:11">
      <c r="A98" s="37" t="s">
        <v>159</v>
      </c>
      <c r="B98" s="37" t="s">
        <v>160</v>
      </c>
      <c r="C98" s="74" t="s">
        <v>831</v>
      </c>
      <c r="D98" s="74" t="s">
        <v>195</v>
      </c>
      <c r="E98" s="74" t="s">
        <v>228</v>
      </c>
      <c r="F98" s="67" t="s">
        <v>230</v>
      </c>
      <c r="G98" s="67" t="s">
        <v>1052</v>
      </c>
      <c r="H98" s="37">
        <f t="shared" si="1"/>
        <v>95</v>
      </c>
      <c r="I98" s="37"/>
    </row>
    <row r="99" spans="1:11">
      <c r="A99" s="37" t="s">
        <v>161</v>
      </c>
      <c r="B99" s="37" t="s">
        <v>162</v>
      </c>
      <c r="C99" s="74">
        <v>0</v>
      </c>
      <c r="D99" s="74" t="s">
        <v>195</v>
      </c>
      <c r="E99" s="74" t="s">
        <v>228</v>
      </c>
      <c r="F99" s="67" t="s">
        <v>230</v>
      </c>
      <c r="G99" s="67" t="s">
        <v>1052</v>
      </c>
      <c r="H99" s="37">
        <f t="shared" si="1"/>
        <v>96</v>
      </c>
      <c r="I99" s="37"/>
    </row>
    <row r="100" spans="1:11">
      <c r="A100" s="37" t="s">
        <v>3283</v>
      </c>
      <c r="B100" s="37" t="s">
        <v>3282</v>
      </c>
      <c r="C100" s="74">
        <v>1</v>
      </c>
      <c r="D100" s="74">
        <v>0</v>
      </c>
      <c r="E100" s="74">
        <v>1</v>
      </c>
      <c r="F100" s="67" t="s">
        <v>230</v>
      </c>
      <c r="G100" s="67" t="s">
        <v>1052</v>
      </c>
      <c r="H100" s="37">
        <f t="shared" si="1"/>
        <v>97</v>
      </c>
      <c r="I100" s="37"/>
    </row>
    <row r="101" spans="1:11">
      <c r="A101" s="37" t="s">
        <v>163</v>
      </c>
      <c r="B101" s="37" t="s">
        <v>164</v>
      </c>
      <c r="C101" s="74" t="s">
        <v>156</v>
      </c>
      <c r="D101" s="74" t="s">
        <v>195</v>
      </c>
      <c r="E101" s="74" t="s">
        <v>228</v>
      </c>
      <c r="F101" s="67" t="s">
        <v>230</v>
      </c>
      <c r="G101" s="67" t="s">
        <v>1052</v>
      </c>
      <c r="H101" s="37">
        <f t="shared" si="1"/>
        <v>98</v>
      </c>
      <c r="I101" s="37"/>
    </row>
    <row r="102" spans="1:11">
      <c r="A102" s="37" t="s">
        <v>165</v>
      </c>
      <c r="B102" s="37" t="s">
        <v>166</v>
      </c>
      <c r="C102" s="74">
        <v>0</v>
      </c>
      <c r="D102" s="74" t="s">
        <v>195</v>
      </c>
      <c r="E102" s="74" t="s">
        <v>228</v>
      </c>
      <c r="F102" s="67" t="s">
        <v>230</v>
      </c>
      <c r="G102" s="67" t="s">
        <v>1052</v>
      </c>
      <c r="H102" s="37">
        <f t="shared" si="1"/>
        <v>99</v>
      </c>
      <c r="I102" s="37"/>
    </row>
    <row r="103" spans="1:11">
      <c r="A103" s="37" t="s">
        <v>3398</v>
      </c>
      <c r="B103" s="37" t="s">
        <v>3341</v>
      </c>
      <c r="C103" s="74">
        <v>-1</v>
      </c>
      <c r="D103" s="74">
        <v>-1</v>
      </c>
      <c r="E103" s="74">
        <v>1</v>
      </c>
      <c r="F103" s="67" t="s">
        <v>230</v>
      </c>
      <c r="G103" s="67" t="s">
        <v>1052</v>
      </c>
      <c r="H103" s="37">
        <f t="shared" si="1"/>
        <v>100</v>
      </c>
      <c r="I103" s="37" t="s">
        <v>3400</v>
      </c>
    </row>
    <row r="104" spans="1:11">
      <c r="A104" s="37" t="s">
        <v>167</v>
      </c>
      <c r="B104" s="37" t="s">
        <v>168</v>
      </c>
      <c r="C104" s="74" t="s">
        <v>169</v>
      </c>
      <c r="D104" s="74" t="s">
        <v>195</v>
      </c>
      <c r="E104" s="74" t="s">
        <v>228</v>
      </c>
      <c r="F104" s="67" t="s">
        <v>230</v>
      </c>
      <c r="G104" s="67" t="s">
        <v>1052</v>
      </c>
      <c r="H104" s="37">
        <f t="shared" si="1"/>
        <v>101</v>
      </c>
      <c r="I104" s="37"/>
    </row>
    <row r="105" spans="1:11">
      <c r="A105" s="37" t="s">
        <v>170</v>
      </c>
      <c r="B105" s="37" t="s">
        <v>171</v>
      </c>
      <c r="C105" s="74" t="s">
        <v>196</v>
      </c>
      <c r="D105" s="74" t="s">
        <v>195</v>
      </c>
      <c r="E105" s="74" t="s">
        <v>228</v>
      </c>
      <c r="F105" s="67" t="s">
        <v>230</v>
      </c>
      <c r="G105" s="67" t="s">
        <v>1052</v>
      </c>
      <c r="H105" s="37">
        <f t="shared" si="1"/>
        <v>102</v>
      </c>
      <c r="I105" s="37"/>
    </row>
    <row r="106" spans="1:11">
      <c r="A106" s="37" t="s">
        <v>172</v>
      </c>
      <c r="B106" s="37" t="s">
        <v>173</v>
      </c>
      <c r="C106" s="74" t="s">
        <v>174</v>
      </c>
      <c r="D106" s="74" t="s">
        <v>195</v>
      </c>
      <c r="E106" s="74" t="s">
        <v>228</v>
      </c>
      <c r="F106" s="67" t="s">
        <v>230</v>
      </c>
      <c r="G106" s="67" t="s">
        <v>1052</v>
      </c>
      <c r="H106" s="37">
        <f t="shared" si="1"/>
        <v>103</v>
      </c>
      <c r="I106" s="37"/>
    </row>
    <row r="107" spans="1:11">
      <c r="A107" s="37" t="s">
        <v>226</v>
      </c>
      <c r="B107" s="37" t="s">
        <v>175</v>
      </c>
      <c r="C107" s="74">
        <v>0</v>
      </c>
      <c r="D107" s="74">
        <v>0</v>
      </c>
      <c r="E107" s="74">
        <v>1</v>
      </c>
      <c r="F107" s="67" t="s">
        <v>230</v>
      </c>
      <c r="G107" s="67" t="s">
        <v>1052</v>
      </c>
      <c r="H107" s="37">
        <f t="shared" si="1"/>
        <v>104</v>
      </c>
      <c r="I107" s="37"/>
    </row>
    <row r="108" spans="1:11">
      <c r="A108" s="37" t="s">
        <v>217</v>
      </c>
      <c r="B108" s="37" t="s">
        <v>176</v>
      </c>
      <c r="C108" s="74">
        <v>1</v>
      </c>
      <c r="D108" s="74">
        <v>0</v>
      </c>
      <c r="E108" s="74">
        <v>1</v>
      </c>
      <c r="F108" s="67" t="s">
        <v>230</v>
      </c>
      <c r="G108" s="67" t="s">
        <v>1052</v>
      </c>
      <c r="H108" s="37">
        <f t="shared" si="1"/>
        <v>105</v>
      </c>
      <c r="I108" s="37"/>
    </row>
    <row r="109" spans="1:11">
      <c r="A109" s="37" t="s">
        <v>177</v>
      </c>
      <c r="B109" s="37" t="s">
        <v>178</v>
      </c>
      <c r="C109" s="74" t="s">
        <v>174</v>
      </c>
      <c r="D109" s="74" t="s">
        <v>195</v>
      </c>
      <c r="E109" s="74" t="s">
        <v>228</v>
      </c>
      <c r="F109" s="67" t="s">
        <v>230</v>
      </c>
      <c r="G109" s="67" t="s">
        <v>1052</v>
      </c>
      <c r="H109" s="37">
        <f t="shared" si="1"/>
        <v>106</v>
      </c>
      <c r="I109" s="37"/>
      <c r="K109" s="54"/>
    </row>
    <row r="110" spans="1:11">
      <c r="A110" s="37" t="s">
        <v>179</v>
      </c>
      <c r="B110" s="37" t="s">
        <v>180</v>
      </c>
      <c r="C110" s="74">
        <v>0</v>
      </c>
      <c r="D110" s="74" t="s">
        <v>195</v>
      </c>
      <c r="E110" s="74" t="s">
        <v>228</v>
      </c>
      <c r="F110" s="67" t="s">
        <v>230</v>
      </c>
      <c r="G110" s="67" t="s">
        <v>1052</v>
      </c>
      <c r="H110" s="37">
        <f t="shared" si="1"/>
        <v>107</v>
      </c>
      <c r="I110" s="37"/>
      <c r="K110" s="54"/>
    </row>
    <row r="111" spans="1:11">
      <c r="A111" s="37" t="s">
        <v>3280</v>
      </c>
      <c r="B111" s="37" t="s">
        <v>3281</v>
      </c>
      <c r="C111" s="74">
        <v>1</v>
      </c>
      <c r="D111" s="74">
        <v>0</v>
      </c>
      <c r="E111" s="74">
        <v>1</v>
      </c>
      <c r="F111" s="67" t="s">
        <v>230</v>
      </c>
      <c r="G111" s="67" t="s">
        <v>1052</v>
      </c>
      <c r="H111" s="37">
        <f t="shared" si="1"/>
        <v>108</v>
      </c>
      <c r="I111" s="37"/>
    </row>
    <row r="112" spans="1:11">
      <c r="A112" s="37" t="s">
        <v>181</v>
      </c>
      <c r="B112" s="37" t="s">
        <v>182</v>
      </c>
      <c r="C112" s="74" t="s">
        <v>174</v>
      </c>
      <c r="D112" s="74" t="s">
        <v>195</v>
      </c>
      <c r="E112" s="74" t="s">
        <v>228</v>
      </c>
      <c r="F112" s="67" t="s">
        <v>230</v>
      </c>
      <c r="G112" s="67" t="s">
        <v>1052</v>
      </c>
      <c r="H112" s="37">
        <f t="shared" si="1"/>
        <v>109</v>
      </c>
      <c r="I112" s="37"/>
      <c r="K112" s="54"/>
    </row>
    <row r="113" spans="1:11">
      <c r="A113" s="37" t="s">
        <v>183</v>
      </c>
      <c r="B113" s="37" t="s">
        <v>184</v>
      </c>
      <c r="C113" s="74">
        <v>0</v>
      </c>
      <c r="D113" s="74" t="s">
        <v>195</v>
      </c>
      <c r="E113" s="74" t="s">
        <v>228</v>
      </c>
      <c r="F113" s="67" t="s">
        <v>230</v>
      </c>
      <c r="G113" s="67" t="s">
        <v>1052</v>
      </c>
      <c r="H113" s="37">
        <f t="shared" si="1"/>
        <v>110</v>
      </c>
      <c r="I113" s="37"/>
      <c r="K113" s="54"/>
    </row>
    <row r="114" spans="1:11">
      <c r="A114" s="37" t="s">
        <v>3399</v>
      </c>
      <c r="B114" s="37" t="s">
        <v>3342</v>
      </c>
      <c r="C114" s="74">
        <v>0</v>
      </c>
      <c r="D114" s="74">
        <v>0</v>
      </c>
      <c r="E114" s="74">
        <v>1</v>
      </c>
      <c r="F114" s="67" t="s">
        <v>230</v>
      </c>
      <c r="G114" s="67" t="s">
        <v>1052</v>
      </c>
      <c r="H114" s="37">
        <f t="shared" si="1"/>
        <v>111</v>
      </c>
      <c r="I114" s="37"/>
    </row>
    <row r="115" spans="1:11">
      <c r="A115" s="37" t="s">
        <v>819</v>
      </c>
      <c r="B115" s="37" t="s">
        <v>820</v>
      </c>
      <c r="C115" s="74">
        <v>1</v>
      </c>
      <c r="D115" s="74">
        <v>0</v>
      </c>
      <c r="E115" s="74">
        <v>1</v>
      </c>
      <c r="F115" s="67" t="s">
        <v>230</v>
      </c>
      <c r="G115" s="67" t="s">
        <v>1052</v>
      </c>
      <c r="H115" s="37">
        <f t="shared" si="1"/>
        <v>112</v>
      </c>
      <c r="I115" s="37"/>
    </row>
    <row r="116" spans="1:11">
      <c r="A116" s="37" t="s">
        <v>822</v>
      </c>
      <c r="B116" s="37" t="s">
        <v>821</v>
      </c>
      <c r="C116" s="74">
        <v>3000</v>
      </c>
      <c r="D116" s="74">
        <v>0</v>
      </c>
      <c r="E116" s="74">
        <v>20000</v>
      </c>
      <c r="F116" s="67" t="s">
        <v>230</v>
      </c>
      <c r="G116" s="67" t="s">
        <v>1052</v>
      </c>
      <c r="H116" s="37">
        <f t="shared" si="1"/>
        <v>113</v>
      </c>
      <c r="I116" s="37"/>
    </row>
    <row r="117" spans="1:11">
      <c r="A117" s="37" t="s">
        <v>3255</v>
      </c>
      <c r="B117" s="37" t="s">
        <v>3256</v>
      </c>
      <c r="C117" s="74" t="s">
        <v>4531</v>
      </c>
      <c r="D117" s="74" t="s">
        <v>3253</v>
      </c>
      <c r="E117" s="74" t="s">
        <v>3254</v>
      </c>
      <c r="F117" s="67" t="s">
        <v>230</v>
      </c>
      <c r="G117" s="67" t="s">
        <v>230</v>
      </c>
      <c r="H117" s="37">
        <f t="shared" si="1"/>
        <v>114</v>
      </c>
      <c r="I117" s="75" t="s">
        <v>3258</v>
      </c>
    </row>
    <row r="118" spans="1:11">
      <c r="A118" s="37" t="s">
        <v>227</v>
      </c>
      <c r="B118" s="37" t="s">
        <v>248</v>
      </c>
      <c r="C118" s="74">
        <v>0</v>
      </c>
      <c r="D118" s="74">
        <v>0</v>
      </c>
      <c r="E118" s="74">
        <v>1</v>
      </c>
      <c r="F118" s="67" t="s">
        <v>230</v>
      </c>
      <c r="G118" s="67" t="s">
        <v>1052</v>
      </c>
      <c r="H118" s="37">
        <f t="shared" si="1"/>
        <v>115</v>
      </c>
      <c r="I118" s="37"/>
    </row>
    <row r="119" spans="1:11">
      <c r="A119" s="37" t="s">
        <v>185</v>
      </c>
      <c r="B119" s="37" t="s">
        <v>249</v>
      </c>
      <c r="C119" s="74" t="s">
        <v>186</v>
      </c>
      <c r="D119" s="74" t="s">
        <v>186</v>
      </c>
      <c r="E119" s="74" t="s">
        <v>186</v>
      </c>
      <c r="F119" s="67" t="s">
        <v>230</v>
      </c>
      <c r="G119" s="67" t="s">
        <v>1052</v>
      </c>
      <c r="H119" s="37">
        <f t="shared" si="1"/>
        <v>116</v>
      </c>
      <c r="I119" s="37"/>
    </row>
    <row r="120" spans="1:11">
      <c r="A120" s="37" t="s">
        <v>4125</v>
      </c>
      <c r="B120" s="37" t="s">
        <v>4124</v>
      </c>
      <c r="C120" s="74">
        <v>1</v>
      </c>
      <c r="D120" s="74">
        <v>1</v>
      </c>
      <c r="E120" s="74">
        <v>65535</v>
      </c>
      <c r="F120" s="67" t="s">
        <v>230</v>
      </c>
      <c r="G120" s="67" t="s">
        <v>230</v>
      </c>
      <c r="H120" s="37">
        <f t="shared" si="1"/>
        <v>117</v>
      </c>
      <c r="I120" s="37" t="s">
        <v>4126</v>
      </c>
    </row>
    <row r="121" spans="1:11">
      <c r="A121" s="37" t="s">
        <v>2786</v>
      </c>
      <c r="B121" s="37" t="s">
        <v>2787</v>
      </c>
      <c r="C121" s="74" t="s">
        <v>2788</v>
      </c>
      <c r="D121" s="74" t="s">
        <v>186</v>
      </c>
      <c r="E121" s="74" t="s">
        <v>186</v>
      </c>
      <c r="F121" s="67" t="s">
        <v>230</v>
      </c>
      <c r="G121" s="67" t="s">
        <v>230</v>
      </c>
      <c r="H121" s="37">
        <f t="shared" si="1"/>
        <v>118</v>
      </c>
      <c r="I121" s="37"/>
    </row>
    <row r="122" spans="1:11">
      <c r="A122" s="37" t="s">
        <v>2790</v>
      </c>
      <c r="B122" s="37" t="s">
        <v>2791</v>
      </c>
      <c r="C122" s="74" t="s">
        <v>2789</v>
      </c>
      <c r="D122" s="74" t="s">
        <v>186</v>
      </c>
      <c r="E122" s="74" t="s">
        <v>186</v>
      </c>
      <c r="F122" s="67" t="s">
        <v>230</v>
      </c>
      <c r="G122" s="67" t="s">
        <v>230</v>
      </c>
      <c r="H122" s="37">
        <f t="shared" si="1"/>
        <v>119</v>
      </c>
      <c r="I122" s="37"/>
    </row>
    <row r="123" spans="1:11">
      <c r="A123" s="37" t="s">
        <v>2793</v>
      </c>
      <c r="B123" s="37" t="s">
        <v>2792</v>
      </c>
      <c r="C123" s="74">
        <v>0</v>
      </c>
      <c r="D123" s="74">
        <v>0</v>
      </c>
      <c r="E123" s="74">
        <v>1</v>
      </c>
      <c r="F123" s="67" t="s">
        <v>230</v>
      </c>
      <c r="G123" s="67" t="s">
        <v>230</v>
      </c>
      <c r="H123" s="37">
        <f t="shared" si="1"/>
        <v>120</v>
      </c>
      <c r="I123" s="37"/>
    </row>
    <row r="124" spans="1:11">
      <c r="A124" s="37" t="s">
        <v>3449</v>
      </c>
      <c r="B124" s="37" t="s">
        <v>3448</v>
      </c>
      <c r="C124" s="37">
        <v>3000</v>
      </c>
      <c r="D124" s="66">
        <v>0</v>
      </c>
      <c r="E124" s="74">
        <v>2147483647</v>
      </c>
      <c r="F124" s="67" t="s">
        <v>230</v>
      </c>
      <c r="G124" s="67" t="s">
        <v>230</v>
      </c>
      <c r="H124" s="37">
        <f t="shared" si="1"/>
        <v>121</v>
      </c>
      <c r="I124" s="37"/>
    </row>
    <row r="125" spans="1:11">
      <c r="A125" s="37" t="s">
        <v>1064</v>
      </c>
      <c r="B125" s="37" t="s">
        <v>1088</v>
      </c>
      <c r="C125" s="15" t="s">
        <v>1065</v>
      </c>
      <c r="D125" s="74" t="s">
        <v>186</v>
      </c>
      <c r="E125" s="74" t="s">
        <v>186</v>
      </c>
      <c r="F125" s="67" t="s">
        <v>230</v>
      </c>
      <c r="G125" s="67" t="s">
        <v>230</v>
      </c>
      <c r="H125" s="37">
        <f t="shared" si="1"/>
        <v>122</v>
      </c>
      <c r="I125" s="37" t="s">
        <v>1071</v>
      </c>
    </row>
    <row r="126" spans="1:11">
      <c r="A126" s="37" t="s">
        <v>1070</v>
      </c>
      <c r="B126" s="37" t="s">
        <v>1068</v>
      </c>
      <c r="C126" s="74">
        <v>1</v>
      </c>
      <c r="D126" s="74">
        <v>0</v>
      </c>
      <c r="E126" s="74">
        <v>1</v>
      </c>
      <c r="F126" s="67" t="s">
        <v>230</v>
      </c>
      <c r="G126" s="67" t="s">
        <v>1052</v>
      </c>
      <c r="H126" s="37">
        <f t="shared" si="1"/>
        <v>123</v>
      </c>
      <c r="I126" s="37"/>
    </row>
    <row r="127" spans="1:11">
      <c r="A127" s="37" t="s">
        <v>1074</v>
      </c>
      <c r="B127" s="37" t="s">
        <v>1072</v>
      </c>
      <c r="C127" s="74">
        <v>1</v>
      </c>
      <c r="D127" s="74">
        <v>0</v>
      </c>
      <c r="E127" s="74">
        <v>1</v>
      </c>
      <c r="F127" s="67" t="s">
        <v>230</v>
      </c>
      <c r="G127" s="67" t="s">
        <v>1052</v>
      </c>
      <c r="H127" s="37">
        <f t="shared" si="1"/>
        <v>124</v>
      </c>
      <c r="I127" s="37" t="s">
        <v>1073</v>
      </c>
    </row>
    <row r="128" spans="1:11">
      <c r="A128" s="37" t="s">
        <v>2706</v>
      </c>
      <c r="B128" s="37" t="s">
        <v>2705</v>
      </c>
      <c r="C128" s="15" t="s">
        <v>3098</v>
      </c>
      <c r="D128" s="74" t="s">
        <v>186</v>
      </c>
      <c r="E128" s="74" t="s">
        <v>186</v>
      </c>
      <c r="F128" s="67" t="s">
        <v>230</v>
      </c>
      <c r="G128" s="67" t="s">
        <v>230</v>
      </c>
      <c r="H128" s="37">
        <f t="shared" si="1"/>
        <v>125</v>
      </c>
      <c r="I128" s="37"/>
    </row>
    <row r="129" spans="1:12">
      <c r="A129" s="37" t="s">
        <v>2708</v>
      </c>
      <c r="B129" s="37" t="s">
        <v>2709</v>
      </c>
      <c r="C129" s="74" t="s">
        <v>186</v>
      </c>
      <c r="D129" s="74" t="s">
        <v>186</v>
      </c>
      <c r="E129" s="74" t="s">
        <v>186</v>
      </c>
      <c r="F129" s="67" t="s">
        <v>230</v>
      </c>
      <c r="G129" s="67" t="s">
        <v>1052</v>
      </c>
      <c r="H129" s="37">
        <f t="shared" si="1"/>
        <v>126</v>
      </c>
      <c r="I129" s="37" t="s">
        <v>2712</v>
      </c>
    </row>
    <row r="130" spans="1:12">
      <c r="A130" s="37" t="s">
        <v>2707</v>
      </c>
      <c r="B130" s="37" t="s">
        <v>2710</v>
      </c>
      <c r="C130" s="74" t="s">
        <v>186</v>
      </c>
      <c r="D130" s="74" t="s">
        <v>186</v>
      </c>
      <c r="E130" s="74" t="s">
        <v>186</v>
      </c>
      <c r="F130" s="67" t="s">
        <v>230</v>
      </c>
      <c r="G130" s="67" t="s">
        <v>1052</v>
      </c>
      <c r="H130" s="37">
        <f t="shared" si="1"/>
        <v>127</v>
      </c>
      <c r="I130" s="37" t="s">
        <v>2711</v>
      </c>
    </row>
    <row r="131" spans="1:12">
      <c r="A131" s="37" t="s">
        <v>2714</v>
      </c>
      <c r="B131" s="37" t="s">
        <v>2713</v>
      </c>
      <c r="C131" s="74">
        <v>0</v>
      </c>
      <c r="D131" s="74">
        <v>0</v>
      </c>
      <c r="E131" s="74">
        <v>1</v>
      </c>
      <c r="F131" s="67" t="s">
        <v>230</v>
      </c>
      <c r="G131" s="67" t="s">
        <v>1052</v>
      </c>
      <c r="H131" s="37">
        <f t="shared" si="1"/>
        <v>128</v>
      </c>
      <c r="I131" s="37"/>
    </row>
    <row r="132" spans="1:12">
      <c r="A132" s="37" t="s">
        <v>2715</v>
      </c>
      <c r="B132" s="37" t="s">
        <v>2716</v>
      </c>
      <c r="C132" s="74">
        <v>0</v>
      </c>
      <c r="D132" s="74">
        <v>0</v>
      </c>
      <c r="E132" s="74">
        <v>1</v>
      </c>
      <c r="F132" s="67" t="s">
        <v>230</v>
      </c>
      <c r="G132" s="67" t="s">
        <v>1052</v>
      </c>
      <c r="H132" s="37">
        <f t="shared" ref="H132:H230" si="2">ROW()-3</f>
        <v>129</v>
      </c>
      <c r="I132" s="37"/>
    </row>
    <row r="133" spans="1:12">
      <c r="A133" s="37" t="s">
        <v>2717</v>
      </c>
      <c r="B133" s="37" t="s">
        <v>2718</v>
      </c>
      <c r="C133" s="74">
        <v>20000</v>
      </c>
      <c r="D133" s="74">
        <v>0</v>
      </c>
      <c r="E133" s="74">
        <v>2147483647</v>
      </c>
      <c r="F133" s="67" t="s">
        <v>230</v>
      </c>
      <c r="G133" s="67" t="s">
        <v>230</v>
      </c>
      <c r="H133" s="37">
        <f t="shared" si="2"/>
        <v>130</v>
      </c>
      <c r="I133" s="37"/>
    </row>
    <row r="134" spans="1:12">
      <c r="A134" s="37" t="s">
        <v>2719</v>
      </c>
      <c r="B134" s="37" t="s">
        <v>2720</v>
      </c>
      <c r="C134" s="74">
        <v>10000</v>
      </c>
      <c r="D134" s="74">
        <v>0</v>
      </c>
      <c r="E134" s="74">
        <v>2147483647</v>
      </c>
      <c r="F134" s="67" t="s">
        <v>230</v>
      </c>
      <c r="G134" s="67" t="s">
        <v>230</v>
      </c>
      <c r="H134" s="37">
        <f t="shared" si="2"/>
        <v>131</v>
      </c>
      <c r="I134" s="37"/>
    </row>
    <row r="135" spans="1:12">
      <c r="A135" s="37" t="s">
        <v>2741</v>
      </c>
      <c r="B135" s="37" t="s">
        <v>2739</v>
      </c>
      <c r="C135" s="74" t="s">
        <v>2738</v>
      </c>
      <c r="D135" s="74" t="s">
        <v>186</v>
      </c>
      <c r="E135" s="74" t="s">
        <v>186</v>
      </c>
      <c r="F135" s="67" t="s">
        <v>230</v>
      </c>
      <c r="G135" s="67" t="s">
        <v>230</v>
      </c>
      <c r="H135" s="37">
        <f t="shared" si="2"/>
        <v>132</v>
      </c>
      <c r="I135" s="37" t="s">
        <v>2740</v>
      </c>
      <c r="L135" s="49"/>
    </row>
    <row r="136" spans="1:12">
      <c r="A136" s="37" t="s">
        <v>3236</v>
      </c>
      <c r="B136" s="37" t="s">
        <v>3237</v>
      </c>
      <c r="C136" s="74" t="s">
        <v>3247</v>
      </c>
      <c r="D136" s="74" t="s">
        <v>3245</v>
      </c>
      <c r="E136" s="74" t="s">
        <v>3238</v>
      </c>
      <c r="F136" s="67" t="s">
        <v>230</v>
      </c>
      <c r="G136" s="67" t="s">
        <v>230</v>
      </c>
      <c r="H136" s="37">
        <f t="shared" si="2"/>
        <v>133</v>
      </c>
      <c r="I136" s="37" t="s">
        <v>3244</v>
      </c>
      <c r="K136" s="18" t="s">
        <v>3243</v>
      </c>
      <c r="L136" s="49"/>
    </row>
    <row r="137" spans="1:12">
      <c r="A137" s="37" t="s">
        <v>187</v>
      </c>
      <c r="B137" s="37" t="s">
        <v>188</v>
      </c>
      <c r="C137" s="74">
        <v>0</v>
      </c>
      <c r="D137" s="74">
        <v>0</v>
      </c>
      <c r="E137" s="74">
        <v>100</v>
      </c>
      <c r="F137" s="67" t="s">
        <v>230</v>
      </c>
      <c r="G137" s="67" t="s">
        <v>1052</v>
      </c>
      <c r="H137" s="37">
        <f t="shared" si="2"/>
        <v>134</v>
      </c>
      <c r="I137" s="37"/>
      <c r="K137" s="50" t="s">
        <v>3239</v>
      </c>
      <c r="L137" s="49"/>
    </row>
    <row r="138" spans="1:12">
      <c r="A138" s="37" t="s">
        <v>189</v>
      </c>
      <c r="B138" s="37" t="s">
        <v>190</v>
      </c>
      <c r="C138" s="74">
        <v>0</v>
      </c>
      <c r="D138" s="74">
        <v>0</v>
      </c>
      <c r="E138" s="74">
        <v>100</v>
      </c>
      <c r="F138" s="67" t="s">
        <v>230</v>
      </c>
      <c r="G138" s="67" t="s">
        <v>1052</v>
      </c>
      <c r="H138" s="37">
        <f t="shared" si="2"/>
        <v>135</v>
      </c>
      <c r="I138" s="37"/>
      <c r="K138" s="50" t="s">
        <v>3240</v>
      </c>
      <c r="L138" s="49"/>
    </row>
    <row r="139" spans="1:12">
      <c r="A139" s="37" t="s">
        <v>264</v>
      </c>
      <c r="B139" s="37" t="s">
        <v>262</v>
      </c>
      <c r="C139" s="74" t="s">
        <v>3210</v>
      </c>
      <c r="D139" s="74" t="s">
        <v>186</v>
      </c>
      <c r="E139" s="74" t="s">
        <v>186</v>
      </c>
      <c r="F139" s="67" t="s">
        <v>230</v>
      </c>
      <c r="G139" s="67" t="s">
        <v>230</v>
      </c>
      <c r="H139" s="37">
        <f t="shared" si="2"/>
        <v>136</v>
      </c>
      <c r="I139" s="37"/>
      <c r="K139" s="50" t="s">
        <v>3241</v>
      </c>
    </row>
    <row r="140" spans="1:12">
      <c r="A140" s="37" t="s">
        <v>263</v>
      </c>
      <c r="B140" s="37" t="s">
        <v>1034</v>
      </c>
      <c r="C140" s="74" t="s">
        <v>994</v>
      </c>
      <c r="D140" s="74" t="s">
        <v>186</v>
      </c>
      <c r="E140" s="74" t="s">
        <v>186</v>
      </c>
      <c r="F140" s="67" t="s">
        <v>230</v>
      </c>
      <c r="G140" s="67" t="s">
        <v>230</v>
      </c>
      <c r="H140" s="37">
        <f t="shared" si="2"/>
        <v>137</v>
      </c>
      <c r="I140" s="37" t="s">
        <v>1021</v>
      </c>
      <c r="K140" s="51" t="s">
        <v>3242</v>
      </c>
    </row>
    <row r="141" spans="1:12">
      <c r="A141" s="37" t="s">
        <v>3203</v>
      </c>
      <c r="B141" s="37" t="s">
        <v>3207</v>
      </c>
      <c r="C141" s="74">
        <v>1000</v>
      </c>
      <c r="D141" s="74">
        <v>0</v>
      </c>
      <c r="E141" s="74">
        <v>2147483647</v>
      </c>
      <c r="F141" s="67" t="s">
        <v>230</v>
      </c>
      <c r="G141" s="67" t="s">
        <v>230</v>
      </c>
      <c r="H141" s="37">
        <f t="shared" si="2"/>
        <v>138</v>
      </c>
      <c r="I141" s="37"/>
    </row>
    <row r="142" spans="1:12">
      <c r="A142" s="37" t="s">
        <v>3204</v>
      </c>
      <c r="B142" s="37" t="s">
        <v>3205</v>
      </c>
      <c r="C142" s="74">
        <v>2</v>
      </c>
      <c r="D142" s="74">
        <v>0</v>
      </c>
      <c r="E142" s="74">
        <v>100</v>
      </c>
      <c r="F142" s="67" t="s">
        <v>230</v>
      </c>
      <c r="G142" s="67" t="s">
        <v>230</v>
      </c>
      <c r="H142" s="37">
        <f t="shared" si="2"/>
        <v>139</v>
      </c>
      <c r="I142" s="37"/>
    </row>
    <row r="143" spans="1:12">
      <c r="A143" s="37" t="s">
        <v>3094</v>
      </c>
      <c r="B143" s="37" t="s">
        <v>3095</v>
      </c>
      <c r="C143" s="74" t="s">
        <v>3208</v>
      </c>
      <c r="D143" s="74" t="s">
        <v>186</v>
      </c>
      <c r="E143" s="74" t="s">
        <v>186</v>
      </c>
      <c r="F143" s="67" t="s">
        <v>230</v>
      </c>
      <c r="G143" s="67" t="s">
        <v>230</v>
      </c>
      <c r="H143" s="37">
        <f t="shared" si="2"/>
        <v>140</v>
      </c>
      <c r="I143" s="37" t="s">
        <v>3206</v>
      </c>
    </row>
    <row r="144" spans="1:12">
      <c r="A144" s="37" t="s">
        <v>3096</v>
      </c>
      <c r="B144" s="37" t="s">
        <v>3097</v>
      </c>
      <c r="C144" s="76" t="s">
        <v>3209</v>
      </c>
      <c r="D144" s="74" t="s">
        <v>186</v>
      </c>
      <c r="E144" s="74" t="s">
        <v>186</v>
      </c>
      <c r="F144" s="67" t="s">
        <v>230</v>
      </c>
      <c r="G144" s="67" t="s">
        <v>230</v>
      </c>
      <c r="H144" s="37">
        <f t="shared" si="2"/>
        <v>141</v>
      </c>
      <c r="I144" s="37" t="s">
        <v>3206</v>
      </c>
    </row>
    <row r="145" spans="1:9">
      <c r="A145" s="37" t="s">
        <v>197</v>
      </c>
      <c r="B145" s="37" t="s">
        <v>201</v>
      </c>
      <c r="C145" s="74">
        <v>0</v>
      </c>
      <c r="D145" s="74">
        <v>0</v>
      </c>
      <c r="E145" s="74">
        <v>4</v>
      </c>
      <c r="F145" s="67" t="s">
        <v>230</v>
      </c>
      <c r="G145" s="67" t="s">
        <v>1052</v>
      </c>
      <c r="H145" s="37">
        <f t="shared" si="2"/>
        <v>142</v>
      </c>
      <c r="I145" s="37"/>
    </row>
    <row r="146" spans="1:9">
      <c r="A146" s="37" t="s">
        <v>3227</v>
      </c>
      <c r="B146" s="37" t="s">
        <v>3047</v>
      </c>
      <c r="C146" s="74">
        <v>5</v>
      </c>
      <c r="D146" s="74">
        <v>0</v>
      </c>
      <c r="E146" s="99">
        <v>864000</v>
      </c>
      <c r="F146" s="67" t="s">
        <v>230</v>
      </c>
      <c r="G146" s="67" t="s">
        <v>230</v>
      </c>
      <c r="H146" s="37">
        <f t="shared" si="2"/>
        <v>143</v>
      </c>
      <c r="I146" s="37"/>
    </row>
    <row r="147" spans="1:9">
      <c r="A147" s="37" t="s">
        <v>3228</v>
      </c>
      <c r="B147" s="37" t="s">
        <v>2927</v>
      </c>
      <c r="C147" s="74">
        <v>5</v>
      </c>
      <c r="D147" s="74">
        <v>0</v>
      </c>
      <c r="E147" s="99">
        <v>864000</v>
      </c>
      <c r="F147" s="67" t="s">
        <v>230</v>
      </c>
      <c r="G147" s="67" t="s">
        <v>230</v>
      </c>
      <c r="H147" s="37">
        <f t="shared" si="2"/>
        <v>144</v>
      </c>
      <c r="I147" s="37"/>
    </row>
    <row r="148" spans="1:9">
      <c r="A148" s="37" t="s">
        <v>4388</v>
      </c>
      <c r="B148" s="37" t="s">
        <v>4385</v>
      </c>
      <c r="C148" s="74">
        <v>1</v>
      </c>
      <c r="D148" s="74">
        <v>0</v>
      </c>
      <c r="E148" s="99">
        <v>1</v>
      </c>
      <c r="F148" s="67" t="s">
        <v>230</v>
      </c>
      <c r="G148" s="67" t="s">
        <v>4378</v>
      </c>
      <c r="H148" s="37">
        <f t="shared" si="2"/>
        <v>145</v>
      </c>
      <c r="I148" s="37"/>
    </row>
    <row r="149" spans="1:9">
      <c r="A149" s="37" t="s">
        <v>3063</v>
      </c>
      <c r="B149" s="37" t="s">
        <v>2928</v>
      </c>
      <c r="C149" s="74">
        <v>75</v>
      </c>
      <c r="D149" s="74">
        <v>1</v>
      </c>
      <c r="E149" s="74">
        <v>100</v>
      </c>
      <c r="F149" s="67" t="s">
        <v>230</v>
      </c>
      <c r="G149" s="67" t="s">
        <v>2864</v>
      </c>
      <c r="H149" s="37">
        <f t="shared" si="2"/>
        <v>146</v>
      </c>
      <c r="I149" s="37"/>
    </row>
    <row r="150" spans="1:9">
      <c r="A150" s="37" t="s">
        <v>2924</v>
      </c>
      <c r="B150" s="37" t="s">
        <v>2929</v>
      </c>
      <c r="C150" s="74">
        <v>0</v>
      </c>
      <c r="D150" s="74">
        <v>0</v>
      </c>
      <c r="E150" s="74">
        <v>100</v>
      </c>
      <c r="F150" s="67" t="s">
        <v>230</v>
      </c>
      <c r="G150" s="67" t="s">
        <v>230</v>
      </c>
      <c r="H150" s="37">
        <f t="shared" si="2"/>
        <v>147</v>
      </c>
      <c r="I150" s="37"/>
    </row>
    <row r="151" spans="1:9">
      <c r="A151" s="37" t="s">
        <v>3064</v>
      </c>
      <c r="B151" s="37" t="s">
        <v>2930</v>
      </c>
      <c r="C151" s="74">
        <v>90</v>
      </c>
      <c r="D151" s="74">
        <v>1</v>
      </c>
      <c r="E151" s="74">
        <v>100</v>
      </c>
      <c r="F151" s="67" t="s">
        <v>230</v>
      </c>
      <c r="G151" s="67" t="s">
        <v>2864</v>
      </c>
      <c r="H151" s="37">
        <f t="shared" si="2"/>
        <v>148</v>
      </c>
      <c r="I151" s="37"/>
    </row>
    <row r="152" spans="1:9">
      <c r="A152" s="37" t="s">
        <v>2925</v>
      </c>
      <c r="B152" s="37" t="s">
        <v>2931</v>
      </c>
      <c r="C152" s="74">
        <v>0</v>
      </c>
      <c r="D152" s="74">
        <v>0</v>
      </c>
      <c r="E152" s="74">
        <v>100</v>
      </c>
      <c r="F152" s="67" t="s">
        <v>230</v>
      </c>
      <c r="G152" s="67" t="s">
        <v>230</v>
      </c>
      <c r="H152" s="37">
        <f t="shared" si="2"/>
        <v>149</v>
      </c>
      <c r="I152" s="37"/>
    </row>
    <row r="153" spans="1:9">
      <c r="A153" s="37" t="s">
        <v>2926</v>
      </c>
      <c r="B153" s="37" t="s">
        <v>2932</v>
      </c>
      <c r="C153" s="74">
        <v>2</v>
      </c>
      <c r="D153" s="74">
        <v>1</v>
      </c>
      <c r="E153" s="99">
        <v>100</v>
      </c>
      <c r="F153" s="67" t="s">
        <v>230</v>
      </c>
      <c r="G153" s="67" t="s">
        <v>2864</v>
      </c>
      <c r="H153" s="37">
        <f t="shared" si="2"/>
        <v>150</v>
      </c>
      <c r="I153" s="37"/>
    </row>
    <row r="154" spans="1:9">
      <c r="A154" s="37" t="s">
        <v>3225</v>
      </c>
      <c r="B154" s="37" t="s">
        <v>3044</v>
      </c>
      <c r="C154" s="74">
        <v>5</v>
      </c>
      <c r="D154" s="74">
        <v>0</v>
      </c>
      <c r="E154" s="99">
        <v>864000</v>
      </c>
      <c r="F154" s="67" t="s">
        <v>230</v>
      </c>
      <c r="G154" s="67" t="s">
        <v>230</v>
      </c>
      <c r="H154" s="37">
        <f t="shared" si="2"/>
        <v>151</v>
      </c>
      <c r="I154" s="37"/>
    </row>
    <row r="155" spans="1:9">
      <c r="A155" s="37" t="s">
        <v>3226</v>
      </c>
      <c r="B155" s="37" t="s">
        <v>2781</v>
      </c>
      <c r="C155" s="74">
        <v>5</v>
      </c>
      <c r="D155" s="74">
        <v>0</v>
      </c>
      <c r="E155" s="99">
        <v>864000</v>
      </c>
      <c r="F155" s="67" t="s">
        <v>230</v>
      </c>
      <c r="G155" s="67" t="s">
        <v>230</v>
      </c>
      <c r="H155" s="37">
        <f t="shared" si="2"/>
        <v>152</v>
      </c>
      <c r="I155" s="37"/>
    </row>
    <row r="156" spans="1:9">
      <c r="A156" s="37" t="s">
        <v>4387</v>
      </c>
      <c r="B156" s="37" t="s">
        <v>4386</v>
      </c>
      <c r="C156" s="74">
        <v>1</v>
      </c>
      <c r="D156" s="74">
        <v>0</v>
      </c>
      <c r="E156" s="99">
        <v>1</v>
      </c>
      <c r="F156" s="67" t="s">
        <v>230</v>
      </c>
      <c r="G156" s="67" t="s">
        <v>4378</v>
      </c>
      <c r="H156" s="37">
        <f t="shared" si="2"/>
        <v>153</v>
      </c>
      <c r="I156" s="37"/>
    </row>
    <row r="157" spans="1:9">
      <c r="A157" s="37" t="s">
        <v>3053</v>
      </c>
      <c r="B157" s="37" t="s">
        <v>202</v>
      </c>
      <c r="C157" s="74">
        <v>20</v>
      </c>
      <c r="D157" s="74">
        <v>1</v>
      </c>
      <c r="E157" s="74">
        <v>100</v>
      </c>
      <c r="F157" s="67" t="s">
        <v>230</v>
      </c>
      <c r="G157" s="67" t="s">
        <v>2864</v>
      </c>
      <c r="H157" s="37">
        <f t="shared" si="2"/>
        <v>154</v>
      </c>
      <c r="I157" s="37"/>
    </row>
    <row r="158" spans="1:9">
      <c r="A158" s="37" t="s">
        <v>198</v>
      </c>
      <c r="B158" s="37" t="s">
        <v>203</v>
      </c>
      <c r="C158" s="74">
        <v>0</v>
      </c>
      <c r="D158" s="74">
        <v>0</v>
      </c>
      <c r="E158" s="74">
        <v>100</v>
      </c>
      <c r="F158" s="67" t="s">
        <v>230</v>
      </c>
      <c r="G158" s="67" t="s">
        <v>230</v>
      </c>
      <c r="H158" s="37">
        <f t="shared" si="2"/>
        <v>155</v>
      </c>
      <c r="I158" s="37"/>
    </row>
    <row r="159" spans="1:9">
      <c r="A159" s="37" t="s">
        <v>3054</v>
      </c>
      <c r="B159" s="37" t="s">
        <v>204</v>
      </c>
      <c r="C159" s="74">
        <v>10</v>
      </c>
      <c r="D159" s="74">
        <v>1</v>
      </c>
      <c r="E159" s="74">
        <v>100</v>
      </c>
      <c r="F159" s="67" t="s">
        <v>230</v>
      </c>
      <c r="G159" s="67" t="s">
        <v>2864</v>
      </c>
      <c r="H159" s="37">
        <f t="shared" si="2"/>
        <v>156</v>
      </c>
      <c r="I159" s="37"/>
    </row>
    <row r="160" spans="1:9">
      <c r="A160" s="37" t="s">
        <v>4379</v>
      </c>
      <c r="B160" s="37" t="s">
        <v>4380</v>
      </c>
      <c r="C160" s="74">
        <v>0</v>
      </c>
      <c r="D160" s="74">
        <v>0</v>
      </c>
      <c r="E160" s="74">
        <v>100</v>
      </c>
      <c r="F160" s="67" t="s">
        <v>230</v>
      </c>
      <c r="G160" s="67" t="s">
        <v>230</v>
      </c>
      <c r="H160" s="37">
        <f t="shared" si="2"/>
        <v>157</v>
      </c>
      <c r="I160" s="37"/>
    </row>
    <row r="161" spans="1:9">
      <c r="A161" s="37" t="s">
        <v>3045</v>
      </c>
      <c r="B161" s="37" t="s">
        <v>4402</v>
      </c>
      <c r="C161" s="74">
        <v>60</v>
      </c>
      <c r="D161" s="74">
        <v>0</v>
      </c>
      <c r="E161" s="99">
        <v>864000</v>
      </c>
      <c r="F161" s="67" t="s">
        <v>230</v>
      </c>
      <c r="G161" s="67" t="s">
        <v>230</v>
      </c>
      <c r="H161" s="37">
        <f t="shared" si="2"/>
        <v>158</v>
      </c>
      <c r="I161" s="37"/>
    </row>
    <row r="162" spans="1:9">
      <c r="A162" s="37" t="s">
        <v>199</v>
      </c>
      <c r="B162" s="37" t="s">
        <v>4403</v>
      </c>
      <c r="C162" s="74">
        <v>60</v>
      </c>
      <c r="D162" s="74">
        <v>0</v>
      </c>
      <c r="E162" s="99">
        <v>864000</v>
      </c>
      <c r="F162" s="67" t="s">
        <v>230</v>
      </c>
      <c r="G162" s="67" t="s">
        <v>230</v>
      </c>
      <c r="H162" s="37">
        <f t="shared" si="2"/>
        <v>159</v>
      </c>
      <c r="I162" s="37"/>
    </row>
    <row r="163" spans="1:9">
      <c r="A163" s="37" t="s">
        <v>4382</v>
      </c>
      <c r="B163" s="37" t="s">
        <v>4404</v>
      </c>
      <c r="C163" s="74">
        <v>1</v>
      </c>
      <c r="D163" s="74">
        <v>0</v>
      </c>
      <c r="E163" s="99">
        <v>1</v>
      </c>
      <c r="F163" s="67" t="s">
        <v>230</v>
      </c>
      <c r="G163" s="67" t="s">
        <v>4378</v>
      </c>
      <c r="H163" s="37">
        <f t="shared" si="2"/>
        <v>160</v>
      </c>
      <c r="I163" s="37"/>
    </row>
    <row r="164" spans="1:9">
      <c r="A164" s="37" t="s">
        <v>3052</v>
      </c>
      <c r="B164" s="37" t="s">
        <v>4405</v>
      </c>
      <c r="C164" s="74">
        <v>20</v>
      </c>
      <c r="D164" s="74">
        <v>1</v>
      </c>
      <c r="E164" s="74">
        <v>100</v>
      </c>
      <c r="F164" s="67" t="s">
        <v>230</v>
      </c>
      <c r="G164" s="67" t="s">
        <v>2864</v>
      </c>
      <c r="H164" s="37">
        <f t="shared" si="2"/>
        <v>161</v>
      </c>
      <c r="I164" s="37"/>
    </row>
    <row r="165" spans="1:9">
      <c r="A165" s="37" t="s">
        <v>200</v>
      </c>
      <c r="B165" s="37" t="s">
        <v>4406</v>
      </c>
      <c r="C165" s="74">
        <v>0</v>
      </c>
      <c r="D165" s="74">
        <v>0</v>
      </c>
      <c r="E165" s="74">
        <v>100</v>
      </c>
      <c r="F165" s="67" t="s">
        <v>230</v>
      </c>
      <c r="G165" s="67" t="s">
        <v>230</v>
      </c>
      <c r="H165" s="37">
        <f t="shared" si="2"/>
        <v>162</v>
      </c>
      <c r="I165" s="37"/>
    </row>
    <row r="166" spans="1:9">
      <c r="A166" s="37" t="s">
        <v>3051</v>
      </c>
      <c r="B166" s="37" t="s">
        <v>4407</v>
      </c>
      <c r="C166" s="74">
        <v>10</v>
      </c>
      <c r="D166" s="74">
        <v>1</v>
      </c>
      <c r="E166" s="74">
        <v>100</v>
      </c>
      <c r="F166" s="67" t="s">
        <v>230</v>
      </c>
      <c r="G166" s="67" t="s">
        <v>2864</v>
      </c>
      <c r="H166" s="37">
        <f t="shared" si="2"/>
        <v>163</v>
      </c>
      <c r="I166" s="37"/>
    </row>
    <row r="167" spans="1:9">
      <c r="A167" s="37" t="s">
        <v>4381</v>
      </c>
      <c r="B167" s="37" t="s">
        <v>4408</v>
      </c>
      <c r="C167" s="74">
        <v>0</v>
      </c>
      <c r="D167" s="74">
        <v>0</v>
      </c>
      <c r="E167" s="74">
        <v>100</v>
      </c>
      <c r="F167" s="67" t="s">
        <v>230</v>
      </c>
      <c r="G167" s="67" t="s">
        <v>230</v>
      </c>
      <c r="H167" s="37">
        <f t="shared" si="2"/>
        <v>164</v>
      </c>
      <c r="I167" s="37"/>
    </row>
    <row r="168" spans="1:9">
      <c r="A168" s="37" t="s">
        <v>3045</v>
      </c>
      <c r="B168" s="37" t="s">
        <v>4409</v>
      </c>
      <c r="C168" s="74">
        <v>60</v>
      </c>
      <c r="D168" s="74">
        <v>0</v>
      </c>
      <c r="E168" s="99">
        <v>864000</v>
      </c>
      <c r="F168" s="67" t="s">
        <v>230</v>
      </c>
      <c r="G168" s="67" t="s">
        <v>230</v>
      </c>
      <c r="H168" s="37">
        <f t="shared" si="2"/>
        <v>165</v>
      </c>
      <c r="I168" s="37"/>
    </row>
    <row r="169" spans="1:9">
      <c r="A169" s="37" t="s">
        <v>199</v>
      </c>
      <c r="B169" s="37" t="s">
        <v>4410</v>
      </c>
      <c r="C169" s="74">
        <v>60</v>
      </c>
      <c r="D169" s="74">
        <v>0</v>
      </c>
      <c r="E169" s="99">
        <v>864000</v>
      </c>
      <c r="F169" s="67" t="s">
        <v>230</v>
      </c>
      <c r="G169" s="67" t="s">
        <v>230</v>
      </c>
      <c r="H169" s="37">
        <f t="shared" si="2"/>
        <v>166</v>
      </c>
      <c r="I169" s="37"/>
    </row>
    <row r="170" spans="1:9">
      <c r="A170" s="37" t="s">
        <v>4382</v>
      </c>
      <c r="B170" s="37" t="s">
        <v>4411</v>
      </c>
      <c r="C170" s="74">
        <v>1</v>
      </c>
      <c r="D170" s="74">
        <v>0</v>
      </c>
      <c r="E170" s="99">
        <v>1</v>
      </c>
      <c r="F170" s="67" t="s">
        <v>230</v>
      </c>
      <c r="G170" s="67" t="s">
        <v>2864</v>
      </c>
      <c r="H170" s="37">
        <f t="shared" si="2"/>
        <v>167</v>
      </c>
      <c r="I170" s="37"/>
    </row>
    <row r="171" spans="1:9">
      <c r="A171" s="37" t="s">
        <v>3052</v>
      </c>
      <c r="B171" s="37" t="s">
        <v>4412</v>
      </c>
      <c r="C171" s="74">
        <v>20</v>
      </c>
      <c r="D171" s="74">
        <v>1</v>
      </c>
      <c r="E171" s="74">
        <v>100</v>
      </c>
      <c r="F171" s="67" t="s">
        <v>230</v>
      </c>
      <c r="G171" s="67" t="s">
        <v>2864</v>
      </c>
      <c r="H171" s="37">
        <f t="shared" si="2"/>
        <v>168</v>
      </c>
      <c r="I171" s="37"/>
    </row>
    <row r="172" spans="1:9">
      <c r="A172" s="37" t="s">
        <v>200</v>
      </c>
      <c r="B172" s="37" t="s">
        <v>4413</v>
      </c>
      <c r="C172" s="74">
        <v>0</v>
      </c>
      <c r="D172" s="74">
        <v>0</v>
      </c>
      <c r="E172" s="74">
        <v>100</v>
      </c>
      <c r="F172" s="67" t="s">
        <v>230</v>
      </c>
      <c r="G172" s="67" t="s">
        <v>230</v>
      </c>
      <c r="H172" s="37">
        <f t="shared" si="2"/>
        <v>169</v>
      </c>
      <c r="I172" s="37"/>
    </row>
    <row r="173" spans="1:9">
      <c r="A173" s="37" t="s">
        <v>3051</v>
      </c>
      <c r="B173" s="37" t="s">
        <v>4414</v>
      </c>
      <c r="C173" s="74">
        <v>10</v>
      </c>
      <c r="D173" s="74">
        <v>1</v>
      </c>
      <c r="E173" s="74">
        <v>100</v>
      </c>
      <c r="F173" s="67" t="s">
        <v>230</v>
      </c>
      <c r="G173" s="67" t="s">
        <v>2864</v>
      </c>
      <c r="H173" s="37">
        <f t="shared" si="2"/>
        <v>170</v>
      </c>
      <c r="I173" s="37"/>
    </row>
    <row r="174" spans="1:9">
      <c r="A174" s="37" t="s">
        <v>4381</v>
      </c>
      <c r="B174" s="37" t="s">
        <v>4415</v>
      </c>
      <c r="C174" s="74">
        <v>0</v>
      </c>
      <c r="D174" s="74">
        <v>0</v>
      </c>
      <c r="E174" s="74">
        <v>100</v>
      </c>
      <c r="F174" s="67" t="s">
        <v>230</v>
      </c>
      <c r="G174" s="67" t="s">
        <v>230</v>
      </c>
      <c r="H174" s="37">
        <f t="shared" si="2"/>
        <v>171</v>
      </c>
      <c r="I174" s="37"/>
    </row>
    <row r="175" spans="1:9">
      <c r="A175" s="37" t="s">
        <v>3101</v>
      </c>
      <c r="B175" s="37" t="s">
        <v>3102</v>
      </c>
      <c r="C175" s="74">
        <v>300</v>
      </c>
      <c r="D175" s="74">
        <v>0</v>
      </c>
      <c r="E175" s="99">
        <v>864000</v>
      </c>
      <c r="F175" s="67" t="s">
        <v>230</v>
      </c>
      <c r="G175" s="67" t="s">
        <v>230</v>
      </c>
      <c r="H175" s="37">
        <f t="shared" si="2"/>
        <v>172</v>
      </c>
      <c r="I175" s="37"/>
    </row>
    <row r="176" spans="1:9">
      <c r="A176" s="37" t="s">
        <v>4400</v>
      </c>
      <c r="B176" s="37" t="s">
        <v>4401</v>
      </c>
      <c r="C176" s="74">
        <v>1</v>
      </c>
      <c r="D176" s="74">
        <v>0</v>
      </c>
      <c r="E176" s="99">
        <v>1</v>
      </c>
      <c r="F176" s="67" t="s">
        <v>230</v>
      </c>
      <c r="G176" s="67" t="s">
        <v>4378</v>
      </c>
      <c r="H176" s="37">
        <f t="shared" si="2"/>
        <v>173</v>
      </c>
      <c r="I176" s="37"/>
    </row>
    <row r="177" spans="1:9">
      <c r="A177" s="37" t="s">
        <v>4465</v>
      </c>
      <c r="B177" s="37" t="s">
        <v>4468</v>
      </c>
      <c r="C177" s="74">
        <v>86400</v>
      </c>
      <c r="D177" s="74">
        <v>0</v>
      </c>
      <c r="E177" s="99">
        <v>864000</v>
      </c>
      <c r="F177" s="67" t="s">
        <v>230</v>
      </c>
      <c r="G177" s="67" t="s">
        <v>230</v>
      </c>
      <c r="H177" s="37">
        <f t="shared" si="2"/>
        <v>174</v>
      </c>
      <c r="I177" s="37" t="s">
        <v>4467</v>
      </c>
    </row>
    <row r="178" spans="1:9">
      <c r="A178" s="37" t="s">
        <v>4466</v>
      </c>
      <c r="B178" s="37" t="s">
        <v>4469</v>
      </c>
      <c r="C178" s="74" t="s">
        <v>4480</v>
      </c>
      <c r="D178" s="74" t="s">
        <v>186</v>
      </c>
      <c r="E178" s="74" t="s">
        <v>186</v>
      </c>
      <c r="F178" s="67" t="s">
        <v>230</v>
      </c>
      <c r="G178" s="67" t="s">
        <v>230</v>
      </c>
      <c r="H178" s="37">
        <f t="shared" si="2"/>
        <v>175</v>
      </c>
      <c r="I178" s="37"/>
    </row>
    <row r="179" spans="1:9">
      <c r="A179" s="37" t="s">
        <v>3223</v>
      </c>
      <c r="B179" s="37" t="s">
        <v>3046</v>
      </c>
      <c r="C179" s="74">
        <v>300</v>
      </c>
      <c r="D179" s="74">
        <v>0</v>
      </c>
      <c r="E179" s="99">
        <v>864000</v>
      </c>
      <c r="F179" s="67" t="s">
        <v>230</v>
      </c>
      <c r="G179" s="67" t="s">
        <v>230</v>
      </c>
      <c r="H179" s="37">
        <f t="shared" si="2"/>
        <v>176</v>
      </c>
      <c r="I179" s="37"/>
    </row>
    <row r="180" spans="1:9">
      <c r="A180" s="37" t="s">
        <v>3224</v>
      </c>
      <c r="B180" s="37" t="s">
        <v>836</v>
      </c>
      <c r="C180" s="74">
        <v>300</v>
      </c>
      <c r="D180" s="74">
        <v>0</v>
      </c>
      <c r="E180" s="99">
        <v>864000</v>
      </c>
      <c r="F180" s="67" t="s">
        <v>230</v>
      </c>
      <c r="G180" s="67" t="s">
        <v>230</v>
      </c>
      <c r="H180" s="37">
        <f t="shared" si="2"/>
        <v>177</v>
      </c>
      <c r="I180" s="37"/>
    </row>
    <row r="181" spans="1:9">
      <c r="A181" s="37" t="s">
        <v>4389</v>
      </c>
      <c r="B181" s="37" t="s">
        <v>4393</v>
      </c>
      <c r="C181" s="74">
        <v>1</v>
      </c>
      <c r="D181" s="74">
        <v>0</v>
      </c>
      <c r="E181" s="99">
        <v>1</v>
      </c>
      <c r="F181" s="67" t="s">
        <v>230</v>
      </c>
      <c r="G181" s="67" t="s">
        <v>4378</v>
      </c>
      <c r="H181" s="37">
        <f t="shared" si="2"/>
        <v>178</v>
      </c>
      <c r="I181" s="37"/>
    </row>
    <row r="182" spans="1:9">
      <c r="A182" s="37" t="s">
        <v>3056</v>
      </c>
      <c r="B182" s="37" t="s">
        <v>835</v>
      </c>
      <c r="C182" s="74">
        <v>20</v>
      </c>
      <c r="D182" s="74">
        <v>1</v>
      </c>
      <c r="E182" s="74">
        <v>100</v>
      </c>
      <c r="F182" s="67" t="s">
        <v>230</v>
      </c>
      <c r="G182" s="67" t="s">
        <v>2864</v>
      </c>
      <c r="H182" s="37">
        <f t="shared" si="2"/>
        <v>179</v>
      </c>
      <c r="I182" s="37"/>
    </row>
    <row r="183" spans="1:9">
      <c r="A183" s="37" t="s">
        <v>832</v>
      </c>
      <c r="B183" s="37" t="s">
        <v>834</v>
      </c>
      <c r="C183" s="74">
        <v>0</v>
      </c>
      <c r="D183" s="74">
        <v>0</v>
      </c>
      <c r="E183" s="74">
        <v>100</v>
      </c>
      <c r="F183" s="67" t="s">
        <v>230</v>
      </c>
      <c r="G183" s="67" t="s">
        <v>230</v>
      </c>
      <c r="H183" s="37">
        <f t="shared" si="2"/>
        <v>180</v>
      </c>
      <c r="I183" s="37"/>
    </row>
    <row r="184" spans="1:9">
      <c r="A184" s="37" t="s">
        <v>3055</v>
      </c>
      <c r="B184" s="37" t="s">
        <v>833</v>
      </c>
      <c r="C184" s="74">
        <v>10</v>
      </c>
      <c r="D184" s="74">
        <v>1</v>
      </c>
      <c r="E184" s="74">
        <v>100</v>
      </c>
      <c r="F184" s="67" t="s">
        <v>230</v>
      </c>
      <c r="G184" s="67" t="s">
        <v>2864</v>
      </c>
      <c r="H184" s="37">
        <f t="shared" si="2"/>
        <v>181</v>
      </c>
      <c r="I184" s="37"/>
    </row>
    <row r="185" spans="1:9">
      <c r="A185" s="37" t="s">
        <v>4383</v>
      </c>
      <c r="B185" s="37" t="s">
        <v>4384</v>
      </c>
      <c r="C185" s="74">
        <v>0</v>
      </c>
      <c r="D185" s="74">
        <v>0</v>
      </c>
      <c r="E185" s="74">
        <v>100</v>
      </c>
      <c r="F185" s="67" t="s">
        <v>230</v>
      </c>
      <c r="G185" s="67" t="s">
        <v>230</v>
      </c>
      <c r="H185" s="37">
        <f t="shared" si="2"/>
        <v>182</v>
      </c>
      <c r="I185" s="37"/>
    </row>
    <row r="186" spans="1:9">
      <c r="A186" s="37" t="s">
        <v>3221</v>
      </c>
      <c r="B186" s="37" t="s">
        <v>3048</v>
      </c>
      <c r="C186" s="74">
        <v>300</v>
      </c>
      <c r="D186" s="74">
        <v>0</v>
      </c>
      <c r="E186" s="99">
        <v>864000</v>
      </c>
      <c r="F186" s="67" t="s">
        <v>230</v>
      </c>
      <c r="G186" s="67" t="s">
        <v>230</v>
      </c>
      <c r="H186" s="37">
        <f t="shared" si="2"/>
        <v>183</v>
      </c>
      <c r="I186" s="37"/>
    </row>
    <row r="187" spans="1:9">
      <c r="A187" s="37" t="s">
        <v>3222</v>
      </c>
      <c r="B187" s="37" t="s">
        <v>4391</v>
      </c>
      <c r="C187" s="74">
        <v>300</v>
      </c>
      <c r="D187" s="74">
        <v>0</v>
      </c>
      <c r="E187" s="99">
        <v>864000</v>
      </c>
      <c r="F187" s="67" t="s">
        <v>230</v>
      </c>
      <c r="G187" s="67" t="s">
        <v>230</v>
      </c>
      <c r="H187" s="37">
        <f t="shared" si="2"/>
        <v>184</v>
      </c>
      <c r="I187" s="37"/>
    </row>
    <row r="188" spans="1:9">
      <c r="A188" s="37" t="s">
        <v>4390</v>
      </c>
      <c r="B188" s="37" t="s">
        <v>4395</v>
      </c>
      <c r="C188" s="74">
        <v>1</v>
      </c>
      <c r="D188" s="74">
        <v>0</v>
      </c>
      <c r="E188" s="99">
        <v>1</v>
      </c>
      <c r="F188" s="67" t="s">
        <v>230</v>
      </c>
      <c r="G188" s="67" t="s">
        <v>4378</v>
      </c>
      <c r="H188" s="37">
        <f t="shared" si="2"/>
        <v>185</v>
      </c>
      <c r="I188" s="37"/>
    </row>
    <row r="189" spans="1:9">
      <c r="A189" s="37" t="s">
        <v>3066</v>
      </c>
      <c r="B189" s="37" t="s">
        <v>2914</v>
      </c>
      <c r="C189" s="74">
        <v>80</v>
      </c>
      <c r="D189" s="74">
        <v>1</v>
      </c>
      <c r="E189" s="74">
        <v>100</v>
      </c>
      <c r="F189" s="67" t="s">
        <v>230</v>
      </c>
      <c r="G189" s="67" t="s">
        <v>2864</v>
      </c>
      <c r="H189" s="37">
        <f t="shared" si="2"/>
        <v>186</v>
      </c>
      <c r="I189" s="37"/>
    </row>
    <row r="190" spans="1:9">
      <c r="A190" s="37" t="s">
        <v>2912</v>
      </c>
      <c r="B190" s="37" t="s">
        <v>2915</v>
      </c>
      <c r="C190" s="74">
        <v>10</v>
      </c>
      <c r="D190" s="74">
        <v>0</v>
      </c>
      <c r="E190" s="74">
        <v>100</v>
      </c>
      <c r="F190" s="67" t="s">
        <v>230</v>
      </c>
      <c r="G190" s="67" t="s">
        <v>230</v>
      </c>
      <c r="H190" s="37">
        <f t="shared" si="2"/>
        <v>187</v>
      </c>
      <c r="I190" s="37"/>
    </row>
    <row r="191" spans="1:9">
      <c r="A191" s="37" t="s">
        <v>3065</v>
      </c>
      <c r="B191" s="37" t="s">
        <v>2916</v>
      </c>
      <c r="C191" s="74">
        <v>90</v>
      </c>
      <c r="D191" s="74">
        <v>1</v>
      </c>
      <c r="E191" s="74">
        <v>100</v>
      </c>
      <c r="F191" s="67" t="s">
        <v>230</v>
      </c>
      <c r="G191" s="67" t="s">
        <v>2864</v>
      </c>
      <c r="H191" s="37">
        <f t="shared" si="2"/>
        <v>188</v>
      </c>
      <c r="I191" s="37"/>
    </row>
    <row r="192" spans="1:9">
      <c r="A192" s="37" t="s">
        <v>2913</v>
      </c>
      <c r="B192" s="37" t="s">
        <v>2917</v>
      </c>
      <c r="C192" s="74">
        <v>0</v>
      </c>
      <c r="D192" s="74">
        <v>0</v>
      </c>
      <c r="E192" s="74">
        <v>100</v>
      </c>
      <c r="F192" s="67" t="s">
        <v>230</v>
      </c>
      <c r="G192" s="67" t="s">
        <v>230</v>
      </c>
      <c r="H192" s="37">
        <f t="shared" si="2"/>
        <v>189</v>
      </c>
      <c r="I192" s="37"/>
    </row>
    <row r="193" spans="1:9">
      <c r="A193" s="37" t="s">
        <v>3060</v>
      </c>
      <c r="B193" s="37" t="s">
        <v>3059</v>
      </c>
      <c r="C193" s="74">
        <v>1</v>
      </c>
      <c r="D193" s="74">
        <v>0</v>
      </c>
      <c r="E193" s="74">
        <v>3600</v>
      </c>
      <c r="F193" s="67" t="s">
        <v>230</v>
      </c>
      <c r="G193" s="67" t="s">
        <v>230</v>
      </c>
      <c r="H193" s="37">
        <f t="shared" si="2"/>
        <v>190</v>
      </c>
      <c r="I193" s="37"/>
    </row>
    <row r="194" spans="1:9">
      <c r="A194" s="37" t="s">
        <v>3220</v>
      </c>
      <c r="B194" s="37" t="s">
        <v>3049</v>
      </c>
      <c r="C194" s="74">
        <v>300</v>
      </c>
      <c r="D194" s="74">
        <v>0</v>
      </c>
      <c r="E194" s="99">
        <v>864000</v>
      </c>
      <c r="F194" s="67" t="s">
        <v>230</v>
      </c>
      <c r="G194" s="67" t="s">
        <v>230</v>
      </c>
      <c r="H194" s="37">
        <f t="shared" si="2"/>
        <v>191</v>
      </c>
      <c r="I194" s="37"/>
    </row>
    <row r="195" spans="1:9">
      <c r="A195" s="37" t="s">
        <v>3219</v>
      </c>
      <c r="B195" s="37" t="s">
        <v>2918</v>
      </c>
      <c r="C195" s="74">
        <v>300</v>
      </c>
      <c r="D195" s="74">
        <v>0</v>
      </c>
      <c r="E195" s="99">
        <v>864000</v>
      </c>
      <c r="F195" s="67" t="s">
        <v>230</v>
      </c>
      <c r="G195" s="67" t="s">
        <v>230</v>
      </c>
      <c r="H195" s="37">
        <f t="shared" si="2"/>
        <v>192</v>
      </c>
      <c r="I195" s="37"/>
    </row>
    <row r="196" spans="1:9">
      <c r="A196" s="37" t="s">
        <v>4392</v>
      </c>
      <c r="B196" s="37" t="s">
        <v>4394</v>
      </c>
      <c r="C196" s="74">
        <v>1</v>
      </c>
      <c r="D196" s="74">
        <v>0</v>
      </c>
      <c r="E196" s="99">
        <v>1</v>
      </c>
      <c r="F196" s="67" t="s">
        <v>230</v>
      </c>
      <c r="G196" s="67" t="s">
        <v>4378</v>
      </c>
      <c r="H196" s="37">
        <f t="shared" si="2"/>
        <v>193</v>
      </c>
      <c r="I196" s="37"/>
    </row>
    <row r="197" spans="1:9">
      <c r="A197" s="37" t="s">
        <v>3067</v>
      </c>
      <c r="B197" s="37" t="s">
        <v>2919</v>
      </c>
      <c r="C197" s="74">
        <v>80</v>
      </c>
      <c r="D197" s="74">
        <v>1</v>
      </c>
      <c r="E197" s="74">
        <v>100</v>
      </c>
      <c r="F197" s="67" t="s">
        <v>230</v>
      </c>
      <c r="G197" s="67" t="s">
        <v>2864</v>
      </c>
      <c r="H197" s="37">
        <f t="shared" si="2"/>
        <v>194</v>
      </c>
      <c r="I197" s="37"/>
    </row>
    <row r="198" spans="1:9">
      <c r="A198" s="37" t="s">
        <v>2910</v>
      </c>
      <c r="B198" s="37" t="s">
        <v>2920</v>
      </c>
      <c r="C198" s="74">
        <v>0</v>
      </c>
      <c r="D198" s="74">
        <v>0</v>
      </c>
      <c r="E198" s="74">
        <v>100</v>
      </c>
      <c r="F198" s="67" t="s">
        <v>230</v>
      </c>
      <c r="G198" s="67" t="s">
        <v>230</v>
      </c>
      <c r="H198" s="37">
        <f t="shared" si="2"/>
        <v>195</v>
      </c>
      <c r="I198" s="37"/>
    </row>
    <row r="199" spans="1:9">
      <c r="A199" s="37" t="s">
        <v>3068</v>
      </c>
      <c r="B199" s="37" t="s">
        <v>2921</v>
      </c>
      <c r="C199" s="74">
        <v>90</v>
      </c>
      <c r="D199" s="74">
        <v>1</v>
      </c>
      <c r="E199" s="74">
        <v>100</v>
      </c>
      <c r="F199" s="67" t="s">
        <v>230</v>
      </c>
      <c r="G199" s="67" t="s">
        <v>2864</v>
      </c>
      <c r="H199" s="37">
        <f t="shared" si="2"/>
        <v>196</v>
      </c>
      <c r="I199" s="37"/>
    </row>
    <row r="200" spans="1:9">
      <c r="A200" s="37" t="s">
        <v>2911</v>
      </c>
      <c r="B200" s="37" t="s">
        <v>2922</v>
      </c>
      <c r="C200" s="74">
        <v>0</v>
      </c>
      <c r="D200" s="74">
        <v>0</v>
      </c>
      <c r="E200" s="74">
        <v>100</v>
      </c>
      <c r="F200" s="67" t="s">
        <v>230</v>
      </c>
      <c r="G200" s="67" t="s">
        <v>230</v>
      </c>
      <c r="H200" s="37">
        <f t="shared" si="2"/>
        <v>197</v>
      </c>
      <c r="I200" s="37"/>
    </row>
    <row r="201" spans="1:9">
      <c r="A201" s="37" t="s">
        <v>3062</v>
      </c>
      <c r="B201" s="37" t="s">
        <v>3061</v>
      </c>
      <c r="C201" s="74">
        <v>1</v>
      </c>
      <c r="D201" s="74">
        <v>0</v>
      </c>
      <c r="E201" s="74">
        <v>3600</v>
      </c>
      <c r="F201" s="67" t="s">
        <v>230</v>
      </c>
      <c r="G201" s="67" t="s">
        <v>230</v>
      </c>
      <c r="H201" s="37">
        <f t="shared" si="2"/>
        <v>198</v>
      </c>
      <c r="I201" s="37"/>
    </row>
    <row r="202" spans="1:9">
      <c r="A202" s="37" t="s">
        <v>3231</v>
      </c>
      <c r="B202" s="37" t="s">
        <v>3050</v>
      </c>
      <c r="C202" s="74">
        <v>300</v>
      </c>
      <c r="D202" s="74">
        <v>0</v>
      </c>
      <c r="E202" s="99">
        <v>864000</v>
      </c>
      <c r="F202" s="67" t="s">
        <v>230</v>
      </c>
      <c r="G202" s="67" t="s">
        <v>230</v>
      </c>
      <c r="H202" s="37">
        <f t="shared" si="2"/>
        <v>199</v>
      </c>
      <c r="I202" s="37"/>
    </row>
    <row r="203" spans="1:9">
      <c r="A203" s="37" t="s">
        <v>4396</v>
      </c>
      <c r="B203" s="37" t="s">
        <v>2940</v>
      </c>
      <c r="C203" s="74">
        <v>300</v>
      </c>
      <c r="D203" s="74">
        <v>0</v>
      </c>
      <c r="E203" s="99">
        <v>864000</v>
      </c>
      <c r="F203" s="67" t="s">
        <v>230</v>
      </c>
      <c r="G203" s="67" t="s">
        <v>230</v>
      </c>
      <c r="H203" s="37">
        <f t="shared" si="2"/>
        <v>200</v>
      </c>
      <c r="I203" s="37"/>
    </row>
    <row r="204" spans="1:9">
      <c r="A204" s="37" t="s">
        <v>4397</v>
      </c>
      <c r="B204" s="37" t="s">
        <v>4398</v>
      </c>
      <c r="C204" s="74">
        <v>1</v>
      </c>
      <c r="D204" s="74">
        <v>0</v>
      </c>
      <c r="E204" s="99">
        <v>1</v>
      </c>
      <c r="F204" s="67" t="s">
        <v>230</v>
      </c>
      <c r="G204" s="67" t="s">
        <v>4378</v>
      </c>
      <c r="H204" s="37">
        <f t="shared" si="2"/>
        <v>201</v>
      </c>
      <c r="I204" s="37"/>
    </row>
    <row r="205" spans="1:9">
      <c r="A205" s="37" t="s">
        <v>3057</v>
      </c>
      <c r="B205" s="37" t="s">
        <v>2941</v>
      </c>
      <c r="C205" s="74">
        <v>20</v>
      </c>
      <c r="D205" s="74">
        <v>1</v>
      </c>
      <c r="E205" s="74">
        <v>100</v>
      </c>
      <c r="F205" s="67" t="s">
        <v>230</v>
      </c>
      <c r="G205" s="67" t="s">
        <v>2864</v>
      </c>
      <c r="H205" s="37">
        <f t="shared" si="2"/>
        <v>202</v>
      </c>
      <c r="I205" s="37"/>
    </row>
    <row r="206" spans="1:9">
      <c r="A206" s="37" t="s">
        <v>2938</v>
      </c>
      <c r="B206" s="37" t="s">
        <v>2942</v>
      </c>
      <c r="C206" s="74">
        <v>0</v>
      </c>
      <c r="D206" s="74">
        <v>0</v>
      </c>
      <c r="E206" s="74">
        <v>100</v>
      </c>
      <c r="F206" s="67" t="s">
        <v>230</v>
      </c>
      <c r="G206" s="67" t="s">
        <v>230</v>
      </c>
      <c r="H206" s="37">
        <f t="shared" si="2"/>
        <v>203</v>
      </c>
      <c r="I206" s="37"/>
    </row>
    <row r="207" spans="1:9">
      <c r="A207" s="37" t="s">
        <v>3058</v>
      </c>
      <c r="B207" s="37" t="s">
        <v>2943</v>
      </c>
      <c r="C207" s="74">
        <v>10</v>
      </c>
      <c r="D207" s="74">
        <v>1</v>
      </c>
      <c r="E207" s="74">
        <v>100</v>
      </c>
      <c r="F207" s="67" t="s">
        <v>230</v>
      </c>
      <c r="G207" s="67" t="s">
        <v>2864</v>
      </c>
      <c r="H207" s="37">
        <f t="shared" si="2"/>
        <v>204</v>
      </c>
      <c r="I207" s="37"/>
    </row>
    <row r="208" spans="1:9">
      <c r="A208" s="37" t="s">
        <v>2939</v>
      </c>
      <c r="B208" s="37" t="s">
        <v>2944</v>
      </c>
      <c r="C208" s="74">
        <v>0</v>
      </c>
      <c r="D208" s="74">
        <v>0</v>
      </c>
      <c r="E208" s="74">
        <v>100</v>
      </c>
      <c r="F208" s="67" t="s">
        <v>230</v>
      </c>
      <c r="G208" s="67" t="s">
        <v>230</v>
      </c>
      <c r="H208" s="37">
        <f t="shared" si="2"/>
        <v>205</v>
      </c>
      <c r="I208" s="37"/>
    </row>
    <row r="209" spans="1:9">
      <c r="A209" s="37" t="s">
        <v>4251</v>
      </c>
      <c r="B209" s="37" t="s">
        <v>4250</v>
      </c>
      <c r="C209" s="74">
        <v>300</v>
      </c>
      <c r="D209" s="74">
        <v>0</v>
      </c>
      <c r="E209" s="99">
        <v>864000</v>
      </c>
      <c r="F209" s="67" t="s">
        <v>230</v>
      </c>
      <c r="G209" s="67" t="s">
        <v>230</v>
      </c>
      <c r="H209" s="37">
        <f t="shared" si="2"/>
        <v>206</v>
      </c>
      <c r="I209" s="37"/>
    </row>
    <row r="210" spans="1:9">
      <c r="A210" s="37" t="s">
        <v>4252</v>
      </c>
      <c r="B210" s="37" t="s">
        <v>4253</v>
      </c>
      <c r="C210" s="74">
        <v>10</v>
      </c>
      <c r="D210" s="74">
        <v>0</v>
      </c>
      <c r="E210" s="99">
        <v>864000</v>
      </c>
      <c r="F210" s="67" t="s">
        <v>230</v>
      </c>
      <c r="G210" s="67" t="s">
        <v>230</v>
      </c>
      <c r="H210" s="37">
        <f t="shared" si="2"/>
        <v>207</v>
      </c>
      <c r="I210" s="37"/>
    </row>
    <row r="211" spans="1:9">
      <c r="A211" s="37" t="s">
        <v>4256</v>
      </c>
      <c r="B211" s="37" t="s">
        <v>4257</v>
      </c>
      <c r="C211" s="74">
        <v>5</v>
      </c>
      <c r="D211" s="74">
        <v>0</v>
      </c>
      <c r="E211" s="99">
        <v>864000</v>
      </c>
      <c r="F211" s="67" t="s">
        <v>230</v>
      </c>
      <c r="G211" s="67" t="s">
        <v>230</v>
      </c>
      <c r="H211" s="37">
        <f t="shared" si="2"/>
        <v>208</v>
      </c>
      <c r="I211" s="37"/>
    </row>
    <row r="212" spans="1:9">
      <c r="A212" s="37" t="s">
        <v>4255</v>
      </c>
      <c r="B212" s="37" t="s">
        <v>4254</v>
      </c>
      <c r="C212" s="74">
        <v>1</v>
      </c>
      <c r="D212" s="74">
        <v>0</v>
      </c>
      <c r="E212" s="74">
        <v>3600</v>
      </c>
      <c r="F212" s="67" t="s">
        <v>230</v>
      </c>
      <c r="G212" s="67" t="s">
        <v>230</v>
      </c>
      <c r="H212" s="37">
        <f t="shared" si="2"/>
        <v>209</v>
      </c>
      <c r="I212" s="37"/>
    </row>
    <row r="213" spans="1:9">
      <c r="A213" s="104" t="s">
        <v>4419</v>
      </c>
      <c r="B213" s="30" t="s">
        <v>4430</v>
      </c>
      <c r="C213" s="3">
        <v>0</v>
      </c>
      <c r="D213" s="66">
        <v>0</v>
      </c>
      <c r="E213" s="66">
        <v>1</v>
      </c>
      <c r="F213" s="78" t="s">
        <v>230</v>
      </c>
      <c r="G213" s="78" t="s">
        <v>2864</v>
      </c>
      <c r="H213" s="69">
        <f t="shared" ref="H213:H829" si="3">ROW()-3</f>
        <v>210</v>
      </c>
      <c r="I213" s="30"/>
    </row>
    <row r="214" spans="1:9" ht="14.25">
      <c r="A214" s="105" t="s">
        <v>4420</v>
      </c>
      <c r="B214" s="30" t="s">
        <v>4431</v>
      </c>
      <c r="C214" s="3">
        <v>1</v>
      </c>
      <c r="D214" s="66">
        <v>0</v>
      </c>
      <c r="E214" s="66">
        <v>1</v>
      </c>
      <c r="F214" s="78" t="s">
        <v>230</v>
      </c>
      <c r="G214" s="78" t="s">
        <v>2864</v>
      </c>
      <c r="H214" s="69">
        <f t="shared" si="3"/>
        <v>211</v>
      </c>
      <c r="I214" s="30"/>
    </row>
    <row r="215" spans="1:9">
      <c r="A215" s="104" t="s">
        <v>4421</v>
      </c>
      <c r="B215" s="30" t="s">
        <v>4432</v>
      </c>
      <c r="C215" s="66" t="s">
        <v>812</v>
      </c>
      <c r="D215" s="74" t="s">
        <v>4375</v>
      </c>
      <c r="E215" s="66" t="s">
        <v>4376</v>
      </c>
      <c r="F215" s="78" t="s">
        <v>230</v>
      </c>
      <c r="G215" s="78" t="s">
        <v>2864</v>
      </c>
      <c r="H215" s="69">
        <f t="shared" si="3"/>
        <v>212</v>
      </c>
      <c r="I215" s="30"/>
    </row>
    <row r="216" spans="1:9">
      <c r="A216" s="104" t="s">
        <v>4422</v>
      </c>
      <c r="B216" s="30" t="s">
        <v>4433</v>
      </c>
      <c r="C216" s="66" t="s">
        <v>812</v>
      </c>
      <c r="D216" s="74" t="s">
        <v>4375</v>
      </c>
      <c r="E216" s="66" t="s">
        <v>4376</v>
      </c>
      <c r="F216" s="78" t="s">
        <v>230</v>
      </c>
      <c r="G216" s="78" t="s">
        <v>2864</v>
      </c>
      <c r="H216" s="69">
        <f t="shared" si="3"/>
        <v>213</v>
      </c>
      <c r="I216" s="30"/>
    </row>
    <row r="217" spans="1:9">
      <c r="A217" s="30" t="s">
        <v>4423</v>
      </c>
      <c r="B217" s="30" t="s">
        <v>4434</v>
      </c>
      <c r="C217" s="3">
        <v>30</v>
      </c>
      <c r="D217" s="66">
        <v>1</v>
      </c>
      <c r="E217" s="66">
        <v>65535</v>
      </c>
      <c r="F217" s="78" t="s">
        <v>230</v>
      </c>
      <c r="G217" s="78" t="s">
        <v>2864</v>
      </c>
      <c r="H217" s="69">
        <f t="shared" si="3"/>
        <v>214</v>
      </c>
      <c r="I217" s="30"/>
    </row>
    <row r="218" spans="1:9">
      <c r="A218" s="30" t="s">
        <v>4424</v>
      </c>
      <c r="B218" s="30" t="s">
        <v>4435</v>
      </c>
      <c r="C218" s="3">
        <v>5</v>
      </c>
      <c r="D218" s="66">
        <v>1</v>
      </c>
      <c r="E218" s="66">
        <v>65535</v>
      </c>
      <c r="F218" s="78" t="s">
        <v>230</v>
      </c>
      <c r="G218" s="78" t="s">
        <v>2864</v>
      </c>
      <c r="H218" s="69">
        <f t="shared" si="3"/>
        <v>215</v>
      </c>
      <c r="I218" s="30"/>
    </row>
    <row r="219" spans="1:9">
      <c r="A219" s="30" t="s">
        <v>4425</v>
      </c>
      <c r="B219" s="30" t="s">
        <v>4485</v>
      </c>
      <c r="C219" s="3" t="s">
        <v>4417</v>
      </c>
      <c r="D219" s="66" t="s">
        <v>186</v>
      </c>
      <c r="E219" s="66" t="s">
        <v>186</v>
      </c>
      <c r="F219" s="78" t="s">
        <v>230</v>
      </c>
      <c r="G219" s="78" t="s">
        <v>230</v>
      </c>
      <c r="H219" s="69">
        <f t="shared" si="3"/>
        <v>216</v>
      </c>
      <c r="I219" s="30"/>
    </row>
    <row r="220" spans="1:9">
      <c r="A220" s="30" t="s">
        <v>4486</v>
      </c>
      <c r="B220" s="37" t="s">
        <v>4489</v>
      </c>
      <c r="C220" s="74">
        <v>5</v>
      </c>
      <c r="D220" s="74">
        <v>0</v>
      </c>
      <c r="E220" s="74">
        <v>600</v>
      </c>
      <c r="F220" s="67" t="s">
        <v>230</v>
      </c>
      <c r="G220" s="67" t="s">
        <v>230</v>
      </c>
      <c r="H220" s="37">
        <f t="shared" si="2"/>
        <v>217</v>
      </c>
      <c r="I220" s="37"/>
    </row>
    <row r="221" spans="1:9">
      <c r="A221" s="30" t="s">
        <v>4426</v>
      </c>
      <c r="B221" s="30" t="s">
        <v>4436</v>
      </c>
      <c r="C221" s="3">
        <v>3</v>
      </c>
      <c r="D221" s="66">
        <v>1</v>
      </c>
      <c r="E221" s="66">
        <v>65535</v>
      </c>
      <c r="F221" s="78" t="s">
        <v>230</v>
      </c>
      <c r="G221" s="78" t="s">
        <v>2864</v>
      </c>
      <c r="H221" s="69">
        <f t="shared" si="3"/>
        <v>218</v>
      </c>
      <c r="I221" s="30"/>
    </row>
    <row r="222" spans="1:9">
      <c r="A222" s="30" t="s">
        <v>4427</v>
      </c>
      <c r="B222" s="30" t="s">
        <v>4437</v>
      </c>
      <c r="C222" s="3" t="s">
        <v>4418</v>
      </c>
      <c r="D222" s="66" t="s">
        <v>186</v>
      </c>
      <c r="E222" s="66" t="s">
        <v>186</v>
      </c>
      <c r="F222" s="78" t="s">
        <v>230</v>
      </c>
      <c r="G222" s="78" t="s">
        <v>230</v>
      </c>
      <c r="H222" s="69">
        <f t="shared" si="3"/>
        <v>219</v>
      </c>
      <c r="I222" s="30"/>
    </row>
    <row r="223" spans="1:9">
      <c r="A223" s="37" t="s">
        <v>4483</v>
      </c>
      <c r="B223" s="37" t="s">
        <v>4484</v>
      </c>
      <c r="C223" s="74">
        <v>0</v>
      </c>
      <c r="D223" s="74">
        <v>0</v>
      </c>
      <c r="E223" s="66">
        <v>65535</v>
      </c>
      <c r="F223" s="67" t="s">
        <v>230</v>
      </c>
      <c r="G223" s="78" t="s">
        <v>230</v>
      </c>
      <c r="H223" s="37">
        <f t="shared" si="2"/>
        <v>220</v>
      </c>
      <c r="I223" s="37"/>
    </row>
    <row r="224" spans="1:9">
      <c r="A224" s="37" t="s">
        <v>4429</v>
      </c>
      <c r="B224" s="37" t="s">
        <v>4443</v>
      </c>
      <c r="C224" s="74">
        <v>120</v>
      </c>
      <c r="D224" s="74">
        <v>1</v>
      </c>
      <c r="E224" s="66">
        <v>65535</v>
      </c>
      <c r="F224" s="67" t="s">
        <v>230</v>
      </c>
      <c r="G224" s="67" t="s">
        <v>1052</v>
      </c>
      <c r="H224" s="37">
        <f t="shared" si="2"/>
        <v>221</v>
      </c>
      <c r="I224" s="37"/>
    </row>
    <row r="225" spans="1:9">
      <c r="A225" s="30" t="s">
        <v>4442</v>
      </c>
      <c r="B225" s="30" t="s">
        <v>4444</v>
      </c>
      <c r="C225" s="3">
        <v>60</v>
      </c>
      <c r="D225" s="66">
        <v>1</v>
      </c>
      <c r="E225" s="66">
        <v>65535</v>
      </c>
      <c r="F225" s="78" t="s">
        <v>230</v>
      </c>
      <c r="G225" s="78" t="s">
        <v>2864</v>
      </c>
      <c r="H225" s="69">
        <f t="shared" si="3"/>
        <v>222</v>
      </c>
      <c r="I225" s="30"/>
    </row>
    <row r="226" spans="1:9">
      <c r="A226" s="30" t="s">
        <v>4428</v>
      </c>
      <c r="B226" s="30" t="s">
        <v>4441</v>
      </c>
      <c r="C226" s="3">
        <v>1</v>
      </c>
      <c r="D226" s="66">
        <v>1</v>
      </c>
      <c r="E226" s="66">
        <v>65535</v>
      </c>
      <c r="F226" s="78" t="s">
        <v>230</v>
      </c>
      <c r="G226" s="78" t="s">
        <v>2864</v>
      </c>
      <c r="H226" s="69">
        <f t="shared" si="3"/>
        <v>223</v>
      </c>
      <c r="I226" s="30"/>
    </row>
    <row r="227" spans="1:9">
      <c r="A227" s="37" t="s">
        <v>272</v>
      </c>
      <c r="B227" s="37" t="s">
        <v>1043</v>
      </c>
      <c r="C227" s="74">
        <v>-630</v>
      </c>
      <c r="D227" s="74">
        <v>-4000</v>
      </c>
      <c r="E227" s="74">
        <v>-10</v>
      </c>
      <c r="F227" s="67" t="s">
        <v>230</v>
      </c>
      <c r="G227" s="67" t="s">
        <v>1052</v>
      </c>
      <c r="H227" s="37">
        <f t="shared" si="2"/>
        <v>224</v>
      </c>
      <c r="I227" s="37" t="s">
        <v>273</v>
      </c>
    </row>
    <row r="228" spans="1:9">
      <c r="A228" s="37" t="s">
        <v>828</v>
      </c>
      <c r="B228" s="37" t="s">
        <v>229</v>
      </c>
      <c r="C228" s="74">
        <v>1</v>
      </c>
      <c r="D228" s="74">
        <v>0</v>
      </c>
      <c r="E228" s="74">
        <v>1</v>
      </c>
      <c r="F228" s="67" t="s">
        <v>230</v>
      </c>
      <c r="G228" s="67" t="s">
        <v>1052</v>
      </c>
      <c r="H228" s="37">
        <f t="shared" si="2"/>
        <v>225</v>
      </c>
      <c r="I228" s="37"/>
    </row>
    <row r="229" spans="1:9">
      <c r="A229" s="37" t="s">
        <v>829</v>
      </c>
      <c r="B229" s="37" t="s">
        <v>827</v>
      </c>
      <c r="C229" s="74">
        <v>0</v>
      </c>
      <c r="D229" s="74">
        <v>0</v>
      </c>
      <c r="E229" s="74">
        <v>1</v>
      </c>
      <c r="F229" s="67" t="s">
        <v>230</v>
      </c>
      <c r="G229" s="67" t="s">
        <v>1052</v>
      </c>
      <c r="H229" s="37">
        <f t="shared" si="2"/>
        <v>226</v>
      </c>
      <c r="I229" s="37"/>
    </row>
    <row r="230" spans="1:9" s="39" customFormat="1">
      <c r="A230" s="68" t="s">
        <v>2839</v>
      </c>
      <c r="B230" s="69" t="s">
        <v>2800</v>
      </c>
      <c r="C230" s="77" t="s">
        <v>2819</v>
      </c>
      <c r="D230" s="66" t="s">
        <v>186</v>
      </c>
      <c r="E230" s="66" t="s">
        <v>186</v>
      </c>
      <c r="F230" s="78" t="s">
        <v>230</v>
      </c>
      <c r="G230" s="78" t="s">
        <v>230</v>
      </c>
      <c r="H230" s="69">
        <f t="shared" si="2"/>
        <v>227</v>
      </c>
      <c r="I230" s="69" t="s">
        <v>2838</v>
      </c>
    </row>
    <row r="231" spans="1:9" s="39" customFormat="1">
      <c r="A231" s="68" t="s">
        <v>2840</v>
      </c>
      <c r="B231" s="69" t="s">
        <v>2845</v>
      </c>
      <c r="C231" s="77" t="s">
        <v>2837</v>
      </c>
      <c r="D231" s="66" t="s">
        <v>186</v>
      </c>
      <c r="E231" s="66" t="s">
        <v>186</v>
      </c>
      <c r="F231" s="78" t="s">
        <v>230</v>
      </c>
      <c r="G231" s="78"/>
      <c r="H231" s="69">
        <f t="shared" ref="H231:H304" si="4">ROW()-3</f>
        <v>228</v>
      </c>
      <c r="I231" s="69" t="s">
        <v>2841</v>
      </c>
    </row>
    <row r="232" spans="1:9" s="39" customFormat="1">
      <c r="A232" s="69" t="s">
        <v>2807</v>
      </c>
      <c r="B232" s="69" t="s">
        <v>2808</v>
      </c>
      <c r="C232" s="66" t="s">
        <v>186</v>
      </c>
      <c r="D232" s="66" t="s">
        <v>186</v>
      </c>
      <c r="E232" s="66" t="s">
        <v>186</v>
      </c>
      <c r="F232" s="78" t="s">
        <v>230</v>
      </c>
      <c r="G232" s="78" t="s">
        <v>1052</v>
      </c>
      <c r="H232" s="69">
        <f t="shared" si="4"/>
        <v>229</v>
      </c>
      <c r="I232" s="69" t="s">
        <v>2803</v>
      </c>
    </row>
    <row r="233" spans="1:9" s="39" customFormat="1">
      <c r="A233" s="69" t="s">
        <v>2805</v>
      </c>
      <c r="B233" s="69" t="s">
        <v>2823</v>
      </c>
      <c r="C233" s="66" t="s">
        <v>2821</v>
      </c>
      <c r="D233" s="66" t="s">
        <v>186</v>
      </c>
      <c r="E233" s="66" t="s">
        <v>186</v>
      </c>
      <c r="F233" s="78" t="s">
        <v>230</v>
      </c>
      <c r="G233" s="78"/>
      <c r="H233" s="69">
        <f t="shared" si="4"/>
        <v>230</v>
      </c>
      <c r="I233" s="69" t="s">
        <v>2811</v>
      </c>
    </row>
    <row r="234" spans="1:9" s="39" customFormat="1">
      <c r="A234" s="69" t="s">
        <v>2806</v>
      </c>
      <c r="B234" s="69" t="s">
        <v>2809</v>
      </c>
      <c r="C234" s="66" t="s">
        <v>186</v>
      </c>
      <c r="D234" s="66" t="s">
        <v>186</v>
      </c>
      <c r="E234" s="66" t="s">
        <v>186</v>
      </c>
      <c r="F234" s="78" t="s">
        <v>230</v>
      </c>
      <c r="G234" s="78" t="s">
        <v>1052</v>
      </c>
      <c r="H234" s="69">
        <f t="shared" si="4"/>
        <v>231</v>
      </c>
      <c r="I234" s="69" t="s">
        <v>2801</v>
      </c>
    </row>
    <row r="235" spans="1:9" s="39" customFormat="1">
      <c r="A235" s="69" t="s">
        <v>3075</v>
      </c>
      <c r="B235" s="69" t="s">
        <v>3413</v>
      </c>
      <c r="C235" s="66" t="s">
        <v>2820</v>
      </c>
      <c r="D235" s="66" t="s">
        <v>186</v>
      </c>
      <c r="E235" s="66" t="s">
        <v>186</v>
      </c>
      <c r="F235" s="78" t="s">
        <v>230</v>
      </c>
      <c r="G235" s="78" t="s">
        <v>230</v>
      </c>
      <c r="H235" s="69">
        <f t="shared" si="4"/>
        <v>232</v>
      </c>
      <c r="I235" s="69" t="s">
        <v>2803</v>
      </c>
    </row>
    <row r="236" spans="1:9" s="39" customFormat="1">
      <c r="A236" s="69" t="s">
        <v>3076</v>
      </c>
      <c r="B236" s="69" t="s">
        <v>3414</v>
      </c>
      <c r="C236" s="66" t="s">
        <v>3077</v>
      </c>
      <c r="D236" s="66" t="s">
        <v>186</v>
      </c>
      <c r="E236" s="66" t="s">
        <v>186</v>
      </c>
      <c r="F236" s="78" t="s">
        <v>230</v>
      </c>
      <c r="G236" s="78" t="s">
        <v>230</v>
      </c>
      <c r="H236" s="69">
        <f t="shared" si="4"/>
        <v>233</v>
      </c>
      <c r="I236" s="69" t="s">
        <v>2803</v>
      </c>
    </row>
    <row r="237" spans="1:9" s="39" customFormat="1">
      <c r="A237" s="69" t="s">
        <v>3079</v>
      </c>
      <c r="B237" s="69" t="s">
        <v>3415</v>
      </c>
      <c r="C237" s="66" t="s">
        <v>3078</v>
      </c>
      <c r="D237" s="66" t="s">
        <v>186</v>
      </c>
      <c r="E237" s="66" t="s">
        <v>186</v>
      </c>
      <c r="F237" s="78" t="s">
        <v>230</v>
      </c>
      <c r="G237" s="78" t="s">
        <v>230</v>
      </c>
      <c r="H237" s="69">
        <f t="shared" si="4"/>
        <v>234</v>
      </c>
      <c r="I237" s="69" t="s">
        <v>2803</v>
      </c>
    </row>
    <row r="238" spans="1:9" s="39" customFormat="1">
      <c r="A238" s="100" t="s">
        <v>3076</v>
      </c>
      <c r="B238" s="100" t="s">
        <v>4342</v>
      </c>
      <c r="C238" s="38" t="s">
        <v>3077</v>
      </c>
      <c r="D238" s="38" t="s">
        <v>186</v>
      </c>
      <c r="E238" s="38" t="s">
        <v>186</v>
      </c>
      <c r="F238" s="101" t="s">
        <v>230</v>
      </c>
      <c r="G238" s="101" t="s">
        <v>230</v>
      </c>
      <c r="H238" s="100">
        <f t="shared" si="4"/>
        <v>235</v>
      </c>
      <c r="I238" s="100" t="s">
        <v>2803</v>
      </c>
    </row>
    <row r="239" spans="1:9" s="39" customFormat="1">
      <c r="A239" s="100" t="s">
        <v>3076</v>
      </c>
      <c r="B239" s="100" t="s">
        <v>4495</v>
      </c>
      <c r="C239" s="38" t="s">
        <v>3077</v>
      </c>
      <c r="D239" s="38" t="s">
        <v>186</v>
      </c>
      <c r="E239" s="38" t="s">
        <v>186</v>
      </c>
      <c r="F239" s="101" t="s">
        <v>230</v>
      </c>
      <c r="G239" s="101" t="s">
        <v>230</v>
      </c>
      <c r="H239" s="100">
        <f t="shared" si="4"/>
        <v>236</v>
      </c>
      <c r="I239" s="100" t="s">
        <v>2803</v>
      </c>
    </row>
    <row r="240" spans="1:9" s="39" customFormat="1">
      <c r="A240" s="69" t="s">
        <v>3080</v>
      </c>
      <c r="B240" s="69" t="s">
        <v>3416</v>
      </c>
      <c r="C240" s="66" t="s">
        <v>2822</v>
      </c>
      <c r="D240" s="66" t="s">
        <v>186</v>
      </c>
      <c r="E240" s="66" t="s">
        <v>186</v>
      </c>
      <c r="F240" s="78" t="s">
        <v>230</v>
      </c>
      <c r="G240" s="78" t="s">
        <v>230</v>
      </c>
      <c r="H240" s="69">
        <f t="shared" si="4"/>
        <v>237</v>
      </c>
      <c r="I240" s="69" t="s">
        <v>2801</v>
      </c>
    </row>
    <row r="241" spans="1:9" s="39" customFormat="1">
      <c r="A241" s="69" t="s">
        <v>3080</v>
      </c>
      <c r="B241" s="69" t="s">
        <v>3417</v>
      </c>
      <c r="C241" s="66" t="s">
        <v>3081</v>
      </c>
      <c r="D241" s="66" t="s">
        <v>186</v>
      </c>
      <c r="E241" s="66" t="s">
        <v>186</v>
      </c>
      <c r="F241" s="78" t="s">
        <v>230</v>
      </c>
      <c r="G241" s="78" t="s">
        <v>230</v>
      </c>
      <c r="H241" s="69">
        <f t="shared" si="4"/>
        <v>238</v>
      </c>
      <c r="I241" s="69" t="s">
        <v>2801</v>
      </c>
    </row>
    <row r="242" spans="1:9" s="39" customFormat="1">
      <c r="A242" s="69" t="s">
        <v>3080</v>
      </c>
      <c r="B242" s="69" t="s">
        <v>3418</v>
      </c>
      <c r="C242" s="66" t="s">
        <v>2824</v>
      </c>
      <c r="D242" s="66" t="s">
        <v>186</v>
      </c>
      <c r="E242" s="66" t="s">
        <v>186</v>
      </c>
      <c r="F242" s="78" t="s">
        <v>230</v>
      </c>
      <c r="G242" s="78" t="s">
        <v>230</v>
      </c>
      <c r="H242" s="69">
        <f t="shared" si="4"/>
        <v>239</v>
      </c>
      <c r="I242" s="69" t="s">
        <v>2801</v>
      </c>
    </row>
    <row r="243" spans="1:9" s="39" customFormat="1">
      <c r="A243" s="100" t="s">
        <v>3080</v>
      </c>
      <c r="B243" s="100" t="s">
        <v>4343</v>
      </c>
      <c r="C243" s="38" t="s">
        <v>4344</v>
      </c>
      <c r="D243" s="38" t="s">
        <v>186</v>
      </c>
      <c r="E243" s="38" t="s">
        <v>186</v>
      </c>
      <c r="F243" s="101" t="s">
        <v>230</v>
      </c>
      <c r="G243" s="101" t="s">
        <v>230</v>
      </c>
      <c r="H243" s="100">
        <f t="shared" si="4"/>
        <v>240</v>
      </c>
      <c r="I243" s="100" t="s">
        <v>2801</v>
      </c>
    </row>
    <row r="244" spans="1:9" s="39" customFormat="1">
      <c r="A244" s="100" t="s">
        <v>3080</v>
      </c>
      <c r="B244" s="100" t="s">
        <v>4496</v>
      </c>
      <c r="C244" s="38" t="s">
        <v>3081</v>
      </c>
      <c r="D244" s="38" t="s">
        <v>186</v>
      </c>
      <c r="E244" s="38" t="s">
        <v>186</v>
      </c>
      <c r="F244" s="101" t="s">
        <v>230</v>
      </c>
      <c r="G244" s="101" t="s">
        <v>230</v>
      </c>
      <c r="H244" s="100">
        <f t="shared" si="4"/>
        <v>241</v>
      </c>
      <c r="I244" s="100" t="s">
        <v>2801</v>
      </c>
    </row>
    <row r="245" spans="1:9" s="39" customFormat="1">
      <c r="A245" s="69" t="s">
        <v>2828</v>
      </c>
      <c r="B245" s="69" t="s">
        <v>2849</v>
      </c>
      <c r="C245" s="66" t="s">
        <v>2851</v>
      </c>
      <c r="D245" s="66" t="s">
        <v>186</v>
      </c>
      <c r="E245" s="66" t="s">
        <v>186</v>
      </c>
      <c r="F245" s="78" t="s">
        <v>230</v>
      </c>
      <c r="G245" s="78" t="s">
        <v>230</v>
      </c>
      <c r="H245" s="69">
        <f t="shared" si="4"/>
        <v>242</v>
      </c>
      <c r="I245" s="69" t="s">
        <v>2812</v>
      </c>
    </row>
    <row r="246" spans="1:9" s="39" customFormat="1">
      <c r="A246" s="69" t="s">
        <v>2828</v>
      </c>
      <c r="B246" s="69" t="s">
        <v>2850</v>
      </c>
      <c r="C246" s="66" t="s">
        <v>2852</v>
      </c>
      <c r="D246" s="66" t="s">
        <v>186</v>
      </c>
      <c r="E246" s="66" t="s">
        <v>186</v>
      </c>
      <c r="F246" s="78" t="s">
        <v>230</v>
      </c>
      <c r="G246" s="78" t="s">
        <v>230</v>
      </c>
      <c r="H246" s="69">
        <f t="shared" si="4"/>
        <v>243</v>
      </c>
      <c r="I246" s="69" t="s">
        <v>2812</v>
      </c>
    </row>
    <row r="247" spans="1:9" s="39" customFormat="1">
      <c r="A247" s="69" t="s">
        <v>2828</v>
      </c>
      <c r="B247" s="69" t="s">
        <v>4219</v>
      </c>
      <c r="C247" s="66" t="s">
        <v>4221</v>
      </c>
      <c r="D247" s="66" t="s">
        <v>186</v>
      </c>
      <c r="E247" s="66" t="s">
        <v>186</v>
      </c>
      <c r="F247" s="78" t="s">
        <v>230</v>
      </c>
      <c r="G247" s="78" t="s">
        <v>230</v>
      </c>
      <c r="H247" s="69">
        <f t="shared" si="4"/>
        <v>244</v>
      </c>
      <c r="I247" s="69" t="s">
        <v>2812</v>
      </c>
    </row>
    <row r="248" spans="1:9" s="39" customFormat="1">
      <c r="A248" s="69" t="s">
        <v>2829</v>
      </c>
      <c r="B248" s="69" t="s">
        <v>2810</v>
      </c>
      <c r="C248" s="66" t="s">
        <v>186</v>
      </c>
      <c r="D248" s="66" t="s">
        <v>186</v>
      </c>
      <c r="E248" s="66" t="s">
        <v>186</v>
      </c>
      <c r="F248" s="78" t="s">
        <v>230</v>
      </c>
      <c r="G248" s="78" t="s">
        <v>1052</v>
      </c>
      <c r="H248" s="69">
        <f t="shared" si="4"/>
        <v>245</v>
      </c>
      <c r="I248" s="69" t="s">
        <v>2802</v>
      </c>
    </row>
    <row r="249" spans="1:9" s="39" customFormat="1">
      <c r="A249" s="69" t="s">
        <v>3089</v>
      </c>
      <c r="B249" s="69" t="s">
        <v>3453</v>
      </c>
      <c r="C249" s="66" t="s">
        <v>3456</v>
      </c>
      <c r="D249" s="66" t="s">
        <v>186</v>
      </c>
      <c r="E249" s="66" t="s">
        <v>186</v>
      </c>
      <c r="F249" s="78" t="s">
        <v>230</v>
      </c>
      <c r="G249" s="78" t="s">
        <v>230</v>
      </c>
      <c r="H249" s="69">
        <f t="shared" si="4"/>
        <v>246</v>
      </c>
      <c r="I249" s="69" t="s">
        <v>3090</v>
      </c>
    </row>
    <row r="250" spans="1:9" s="39" customFormat="1">
      <c r="A250" s="69" t="s">
        <v>2830</v>
      </c>
      <c r="B250" s="69" t="s">
        <v>2831</v>
      </c>
      <c r="C250" s="66" t="s">
        <v>2832</v>
      </c>
      <c r="D250" s="66" t="s">
        <v>186</v>
      </c>
      <c r="E250" s="66" t="s">
        <v>186</v>
      </c>
      <c r="F250" s="78" t="s">
        <v>230</v>
      </c>
      <c r="G250" s="78" t="s">
        <v>230</v>
      </c>
      <c r="H250" s="69">
        <f t="shared" si="4"/>
        <v>247</v>
      </c>
      <c r="I250" s="69" t="s">
        <v>2833</v>
      </c>
    </row>
    <row r="251" spans="1:9" s="39" customFormat="1">
      <c r="A251" s="69" t="s">
        <v>3384</v>
      </c>
      <c r="B251" s="69" t="s">
        <v>3385</v>
      </c>
      <c r="C251" s="66" t="s">
        <v>3386</v>
      </c>
      <c r="D251" s="66" t="s">
        <v>186</v>
      </c>
      <c r="E251" s="66" t="s">
        <v>186</v>
      </c>
      <c r="F251" s="78" t="s">
        <v>230</v>
      </c>
      <c r="G251" s="78" t="s">
        <v>230</v>
      </c>
      <c r="H251" s="69">
        <f t="shared" si="4"/>
        <v>248</v>
      </c>
      <c r="I251" s="69" t="s">
        <v>3387</v>
      </c>
    </row>
    <row r="252" spans="1:9" s="39" customFormat="1">
      <c r="A252" s="69" t="s">
        <v>2834</v>
      </c>
      <c r="B252" s="69" t="s">
        <v>2814</v>
      </c>
      <c r="C252" s="66">
        <v>60</v>
      </c>
      <c r="D252" s="66">
        <v>0</v>
      </c>
      <c r="E252" s="66">
        <v>2147483647</v>
      </c>
      <c r="F252" s="78" t="s">
        <v>230</v>
      </c>
      <c r="G252" s="78" t="s">
        <v>1052</v>
      </c>
      <c r="H252" s="69">
        <f t="shared" si="4"/>
        <v>249</v>
      </c>
      <c r="I252" s="69" t="s">
        <v>2815</v>
      </c>
    </row>
    <row r="253" spans="1:9" s="39" customFormat="1">
      <c r="A253" s="69" t="s">
        <v>2835</v>
      </c>
      <c r="B253" s="69" t="s">
        <v>2818</v>
      </c>
      <c r="C253" s="66">
        <v>180</v>
      </c>
      <c r="D253" s="66">
        <v>0</v>
      </c>
      <c r="E253" s="66">
        <v>2147483647</v>
      </c>
      <c r="F253" s="78" t="s">
        <v>230</v>
      </c>
      <c r="G253" s="78" t="s">
        <v>1052</v>
      </c>
      <c r="H253" s="69">
        <f t="shared" si="4"/>
        <v>250</v>
      </c>
      <c r="I253" s="69" t="s">
        <v>2816</v>
      </c>
    </row>
    <row r="254" spans="1:9" s="39" customFormat="1">
      <c r="A254" s="69" t="s">
        <v>2847</v>
      </c>
      <c r="B254" s="69" t="s">
        <v>3452</v>
      </c>
      <c r="C254" s="66" t="s">
        <v>3457</v>
      </c>
      <c r="D254" s="66" t="s">
        <v>186</v>
      </c>
      <c r="E254" s="66" t="s">
        <v>186</v>
      </c>
      <c r="F254" s="78" t="s">
        <v>230</v>
      </c>
      <c r="G254" s="78" t="s">
        <v>230</v>
      </c>
      <c r="H254" s="69">
        <f t="shared" si="4"/>
        <v>251</v>
      </c>
      <c r="I254" s="69" t="s">
        <v>2811</v>
      </c>
    </row>
    <row r="255" spans="1:9" s="39" customFormat="1">
      <c r="A255" s="69" t="s">
        <v>2846</v>
      </c>
      <c r="B255" s="69" t="s">
        <v>3422</v>
      </c>
      <c r="C255" s="66" t="s">
        <v>3458</v>
      </c>
      <c r="D255" s="66" t="s">
        <v>186</v>
      </c>
      <c r="E255" s="66" t="s">
        <v>186</v>
      </c>
      <c r="F255" s="78" t="s">
        <v>230</v>
      </c>
      <c r="G255" s="78" t="s">
        <v>230</v>
      </c>
      <c r="H255" s="69">
        <f t="shared" si="4"/>
        <v>252</v>
      </c>
      <c r="I255" s="69" t="s">
        <v>2811</v>
      </c>
    </row>
    <row r="256" spans="1:9" s="39" customFormat="1">
      <c r="A256" s="69" t="s">
        <v>2846</v>
      </c>
      <c r="B256" s="69" t="s">
        <v>3423</v>
      </c>
      <c r="C256" s="66" t="s">
        <v>3457</v>
      </c>
      <c r="D256" s="66" t="s">
        <v>186</v>
      </c>
      <c r="E256" s="66" t="s">
        <v>186</v>
      </c>
      <c r="F256" s="78" t="s">
        <v>230</v>
      </c>
      <c r="G256" s="78" t="s">
        <v>230</v>
      </c>
      <c r="H256" s="69">
        <f t="shared" si="4"/>
        <v>253</v>
      </c>
      <c r="I256" s="69" t="s">
        <v>2811</v>
      </c>
    </row>
    <row r="257" spans="1:17" s="39" customFormat="1">
      <c r="A257" s="100" t="s">
        <v>2846</v>
      </c>
      <c r="B257" s="100" t="s">
        <v>4345</v>
      </c>
      <c r="C257" s="38" t="s">
        <v>3457</v>
      </c>
      <c r="D257" s="38" t="s">
        <v>186</v>
      </c>
      <c r="E257" s="38" t="s">
        <v>186</v>
      </c>
      <c r="F257" s="101" t="s">
        <v>230</v>
      </c>
      <c r="G257" s="101" t="s">
        <v>230</v>
      </c>
      <c r="H257" s="100">
        <f t="shared" si="4"/>
        <v>254</v>
      </c>
      <c r="I257" s="100" t="s">
        <v>2811</v>
      </c>
    </row>
    <row r="258" spans="1:17" s="39" customFormat="1">
      <c r="A258" s="100" t="s">
        <v>2846</v>
      </c>
      <c r="B258" s="100" t="s">
        <v>4497</v>
      </c>
      <c r="C258" s="38" t="s">
        <v>3457</v>
      </c>
      <c r="D258" s="38" t="s">
        <v>186</v>
      </c>
      <c r="E258" s="38" t="s">
        <v>186</v>
      </c>
      <c r="F258" s="101" t="s">
        <v>230</v>
      </c>
      <c r="G258" s="101" t="s">
        <v>230</v>
      </c>
      <c r="H258" s="100">
        <f t="shared" si="4"/>
        <v>255</v>
      </c>
      <c r="I258" s="100" t="s">
        <v>2811</v>
      </c>
    </row>
    <row r="259" spans="1:17" s="39" customFormat="1">
      <c r="A259" s="69" t="s">
        <v>3454</v>
      </c>
      <c r="B259" s="69" t="s">
        <v>3451</v>
      </c>
      <c r="C259" s="66" t="s">
        <v>3450</v>
      </c>
      <c r="D259" s="66" t="s">
        <v>186</v>
      </c>
      <c r="E259" s="66" t="s">
        <v>186</v>
      </c>
      <c r="F259" s="78" t="s">
        <v>230</v>
      </c>
      <c r="G259" s="78" t="s">
        <v>230</v>
      </c>
      <c r="H259" s="69">
        <f t="shared" si="4"/>
        <v>256</v>
      </c>
      <c r="I259" s="69" t="s">
        <v>2811</v>
      </c>
    </row>
    <row r="260" spans="1:17" s="39" customFormat="1">
      <c r="A260" s="69" t="s">
        <v>4249</v>
      </c>
      <c r="B260" s="69" t="s">
        <v>4247</v>
      </c>
      <c r="C260" s="66" t="s">
        <v>4248</v>
      </c>
      <c r="D260" s="66" t="s">
        <v>186</v>
      </c>
      <c r="E260" s="66" t="s">
        <v>186</v>
      </c>
      <c r="F260" s="78" t="s">
        <v>230</v>
      </c>
      <c r="G260" s="78" t="s">
        <v>230</v>
      </c>
      <c r="H260" s="69">
        <f t="shared" si="4"/>
        <v>257</v>
      </c>
      <c r="I260" s="69"/>
    </row>
    <row r="261" spans="1:17" s="39" customFormat="1">
      <c r="A261" s="69" t="s">
        <v>1018</v>
      </c>
      <c r="B261" s="69" t="s">
        <v>1019</v>
      </c>
      <c r="C261" s="66">
        <v>0</v>
      </c>
      <c r="D261" s="66">
        <v>0</v>
      </c>
      <c r="E261" s="66">
        <v>1</v>
      </c>
      <c r="F261" s="78" t="s">
        <v>230</v>
      </c>
      <c r="G261" s="78" t="s">
        <v>1052</v>
      </c>
      <c r="H261" s="69">
        <f t="shared" si="4"/>
        <v>258</v>
      </c>
      <c r="I261" s="69"/>
    </row>
    <row r="262" spans="1:17" s="39" customFormat="1">
      <c r="A262" s="69" t="s">
        <v>1086</v>
      </c>
      <c r="B262" s="69" t="s">
        <v>1083</v>
      </c>
      <c r="C262" s="79" t="s">
        <v>1084</v>
      </c>
      <c r="D262" s="66" t="s">
        <v>186</v>
      </c>
      <c r="E262" s="66" t="s">
        <v>186</v>
      </c>
      <c r="F262" s="78" t="s">
        <v>230</v>
      </c>
      <c r="G262" s="78" t="s">
        <v>230</v>
      </c>
      <c r="H262" s="69">
        <f t="shared" si="4"/>
        <v>259</v>
      </c>
      <c r="I262" s="69"/>
    </row>
    <row r="263" spans="1:17" s="39" customFormat="1">
      <c r="A263" s="69" t="s">
        <v>1085</v>
      </c>
      <c r="B263" s="69" t="s">
        <v>1081</v>
      </c>
      <c r="C263" s="79" t="s">
        <v>1094</v>
      </c>
      <c r="D263" s="66" t="s">
        <v>186</v>
      </c>
      <c r="E263" s="66" t="s">
        <v>186</v>
      </c>
      <c r="F263" s="78" t="s">
        <v>230</v>
      </c>
      <c r="G263" s="78" t="s">
        <v>230</v>
      </c>
      <c r="H263" s="69">
        <f t="shared" si="4"/>
        <v>260</v>
      </c>
      <c r="I263" s="69" t="s">
        <v>1080</v>
      </c>
    </row>
    <row r="264" spans="1:17" s="39" customFormat="1">
      <c r="A264" s="69" t="s">
        <v>2844</v>
      </c>
      <c r="B264" s="68" t="s">
        <v>2825</v>
      </c>
      <c r="C264" s="66" t="s">
        <v>2827</v>
      </c>
      <c r="D264" s="66" t="s">
        <v>2827</v>
      </c>
      <c r="E264" s="66" t="s">
        <v>228</v>
      </c>
      <c r="F264" s="78" t="s">
        <v>230</v>
      </c>
      <c r="G264" s="78" t="s">
        <v>230</v>
      </c>
      <c r="H264" s="69">
        <f t="shared" si="4"/>
        <v>261</v>
      </c>
      <c r="I264" s="69" t="s">
        <v>2842</v>
      </c>
    </row>
    <row r="265" spans="1:17" s="39" customFormat="1">
      <c r="A265" s="69" t="s">
        <v>2848</v>
      </c>
      <c r="B265" s="68" t="s">
        <v>3421</v>
      </c>
      <c r="C265" s="66" t="s">
        <v>2826</v>
      </c>
      <c r="D265" s="66" t="s">
        <v>2827</v>
      </c>
      <c r="E265" s="66" t="s">
        <v>228</v>
      </c>
      <c r="F265" s="78" t="s">
        <v>230</v>
      </c>
      <c r="G265" s="78" t="s">
        <v>230</v>
      </c>
      <c r="H265" s="69">
        <f t="shared" si="4"/>
        <v>262</v>
      </c>
      <c r="I265" s="69" t="s">
        <v>2843</v>
      </c>
      <c r="K265" s="39" t="s">
        <v>826</v>
      </c>
      <c r="L265" s="39" t="s">
        <v>2953</v>
      </c>
    </row>
    <row r="266" spans="1:17" s="39" customFormat="1">
      <c r="A266" s="69" t="s">
        <v>2848</v>
      </c>
      <c r="B266" s="68" t="s">
        <v>3419</v>
      </c>
      <c r="C266" s="66" t="s">
        <v>1024</v>
      </c>
      <c r="D266" s="66" t="s">
        <v>2827</v>
      </c>
      <c r="E266" s="66" t="s">
        <v>228</v>
      </c>
      <c r="F266" s="78" t="s">
        <v>230</v>
      </c>
      <c r="G266" s="78" t="s">
        <v>230</v>
      </c>
      <c r="H266" s="69">
        <f t="shared" si="4"/>
        <v>263</v>
      </c>
      <c r="I266" s="69" t="s">
        <v>2843</v>
      </c>
      <c r="K266" s="39" t="s">
        <v>1022</v>
      </c>
      <c r="L266" s="39" t="s">
        <v>2954</v>
      </c>
    </row>
    <row r="267" spans="1:17" s="39" customFormat="1">
      <c r="A267" s="69" t="s">
        <v>2848</v>
      </c>
      <c r="B267" s="68" t="s">
        <v>3420</v>
      </c>
      <c r="C267" s="66" t="s">
        <v>812</v>
      </c>
      <c r="D267" s="66" t="s">
        <v>2827</v>
      </c>
      <c r="E267" s="66" t="s">
        <v>228</v>
      </c>
      <c r="F267" s="78" t="s">
        <v>230</v>
      </c>
      <c r="G267" s="78" t="s">
        <v>230</v>
      </c>
      <c r="H267" s="69">
        <f t="shared" si="4"/>
        <v>264</v>
      </c>
      <c r="I267" s="69" t="s">
        <v>2843</v>
      </c>
      <c r="K267" s="39" t="s">
        <v>1024</v>
      </c>
      <c r="L267" t="s">
        <v>2955</v>
      </c>
    </row>
    <row r="268" spans="1:17" s="39" customFormat="1">
      <c r="A268" s="100" t="s">
        <v>2848</v>
      </c>
      <c r="B268" s="102" t="s">
        <v>4346</v>
      </c>
      <c r="C268" s="38" t="s">
        <v>4347</v>
      </c>
      <c r="D268" s="38" t="s">
        <v>2827</v>
      </c>
      <c r="E268" s="38" t="s">
        <v>228</v>
      </c>
      <c r="F268" s="101" t="s">
        <v>230</v>
      </c>
      <c r="G268" s="101" t="s">
        <v>230</v>
      </c>
      <c r="H268" s="100">
        <f t="shared" si="4"/>
        <v>265</v>
      </c>
      <c r="I268" s="100" t="s">
        <v>2843</v>
      </c>
      <c r="K268" s="39" t="s">
        <v>1041</v>
      </c>
      <c r="L268" s="39" t="s">
        <v>2956</v>
      </c>
      <c r="M268"/>
      <c r="N268"/>
      <c r="O268"/>
      <c r="P268"/>
      <c r="Q268"/>
    </row>
    <row r="269" spans="1:17" s="39" customFormat="1">
      <c r="A269" s="100" t="s">
        <v>2848</v>
      </c>
      <c r="B269" s="102" t="s">
        <v>4498</v>
      </c>
      <c r="C269" s="38" t="s">
        <v>812</v>
      </c>
      <c r="D269" s="38" t="s">
        <v>2827</v>
      </c>
      <c r="E269" s="38" t="s">
        <v>228</v>
      </c>
      <c r="F269" s="101" t="s">
        <v>230</v>
      </c>
      <c r="G269" s="101" t="s">
        <v>230</v>
      </c>
      <c r="H269" s="100">
        <f t="shared" si="4"/>
        <v>266</v>
      </c>
      <c r="I269" s="100" t="s">
        <v>2843</v>
      </c>
      <c r="K269" s="39" t="s">
        <v>2722</v>
      </c>
      <c r="L269" s="39" t="s">
        <v>2957</v>
      </c>
      <c r="M269"/>
      <c r="N269"/>
      <c r="O269"/>
      <c r="P269"/>
      <c r="Q269"/>
    </row>
    <row r="270" spans="1:17">
      <c r="A270" s="37" t="s">
        <v>804</v>
      </c>
      <c r="B270" s="37" t="s">
        <v>805</v>
      </c>
      <c r="C270" s="74">
        <v>100000</v>
      </c>
      <c r="D270" s="74">
        <v>0</v>
      </c>
      <c r="E270" s="74">
        <v>2147483647</v>
      </c>
      <c r="F270" s="67" t="s">
        <v>230</v>
      </c>
      <c r="G270" s="67" t="s">
        <v>1052</v>
      </c>
      <c r="H270" s="37">
        <f t="shared" si="4"/>
        <v>267</v>
      </c>
      <c r="I270" s="37"/>
      <c r="K270" s="39" t="s">
        <v>3072</v>
      </c>
      <c r="L270" s="39" t="s">
        <v>2958</v>
      </c>
    </row>
    <row r="271" spans="1:17">
      <c r="A271" s="37" t="s">
        <v>277</v>
      </c>
      <c r="B271" s="37" t="s">
        <v>290</v>
      </c>
      <c r="C271" s="74">
        <v>0</v>
      </c>
      <c r="D271" s="74" t="s">
        <v>195</v>
      </c>
      <c r="E271" s="74" t="s">
        <v>228</v>
      </c>
      <c r="F271" s="67" t="s">
        <v>230</v>
      </c>
      <c r="G271" s="67" t="s">
        <v>1052</v>
      </c>
      <c r="H271" s="37">
        <f t="shared" si="4"/>
        <v>268</v>
      </c>
      <c r="I271" s="37"/>
      <c r="K271" s="39" t="s">
        <v>3216</v>
      </c>
      <c r="L271" s="39" t="s">
        <v>2959</v>
      </c>
    </row>
    <row r="272" spans="1:17">
      <c r="A272" s="37" t="s">
        <v>278</v>
      </c>
      <c r="B272" s="37" t="s">
        <v>837</v>
      </c>
      <c r="C272" s="74">
        <v>8</v>
      </c>
      <c r="D272" s="74">
        <v>5</v>
      </c>
      <c r="E272" s="74">
        <v>32</v>
      </c>
      <c r="F272" s="67" t="s">
        <v>230</v>
      </c>
      <c r="G272" s="67" t="s">
        <v>1052</v>
      </c>
      <c r="H272" s="37">
        <f t="shared" si="4"/>
        <v>269</v>
      </c>
      <c r="I272" s="37"/>
    </row>
    <row r="273" spans="1:12">
      <c r="A273" s="37" t="s">
        <v>279</v>
      </c>
      <c r="B273" s="37" t="s">
        <v>838</v>
      </c>
      <c r="C273" s="74">
        <v>7</v>
      </c>
      <c r="D273" s="74">
        <v>4</v>
      </c>
      <c r="E273" s="74">
        <v>32</v>
      </c>
      <c r="F273" s="67" t="s">
        <v>230</v>
      </c>
      <c r="G273" s="67" t="s">
        <v>1052</v>
      </c>
      <c r="H273" s="37">
        <f t="shared" si="4"/>
        <v>270</v>
      </c>
      <c r="I273" s="37"/>
      <c r="K273" s="39" t="s">
        <v>3412</v>
      </c>
    </row>
    <row r="274" spans="1:12">
      <c r="A274" s="37" t="s">
        <v>280</v>
      </c>
      <c r="B274" s="37" t="s">
        <v>839</v>
      </c>
      <c r="C274" s="74">
        <v>0</v>
      </c>
      <c r="D274" s="74">
        <v>0</v>
      </c>
      <c r="E274" s="74">
        <v>63</v>
      </c>
      <c r="F274" s="67" t="s">
        <v>230</v>
      </c>
      <c r="G274" s="67" t="s">
        <v>1052</v>
      </c>
      <c r="H274" s="37">
        <f t="shared" si="4"/>
        <v>271</v>
      </c>
      <c r="I274" s="37"/>
      <c r="K274" s="39" t="s">
        <v>3406</v>
      </c>
      <c r="L274" s="39" t="s">
        <v>3410</v>
      </c>
    </row>
    <row r="275" spans="1:12">
      <c r="A275" s="37" t="s">
        <v>840</v>
      </c>
      <c r="B275" s="37" t="s">
        <v>841</v>
      </c>
      <c r="C275" s="74">
        <v>2</v>
      </c>
      <c r="D275" s="74">
        <v>0</v>
      </c>
      <c r="E275" s="74">
        <v>2</v>
      </c>
      <c r="F275" s="67" t="s">
        <v>230</v>
      </c>
      <c r="G275" s="67" t="s">
        <v>1052</v>
      </c>
      <c r="H275" s="37">
        <f t="shared" si="4"/>
        <v>272</v>
      </c>
      <c r="I275" s="37"/>
      <c r="K275" s="39" t="s">
        <v>3407</v>
      </c>
      <c r="L275" s="39" t="s">
        <v>2957</v>
      </c>
    </row>
    <row r="276" spans="1:12">
      <c r="A276" s="37" t="s">
        <v>307</v>
      </c>
      <c r="B276" s="37" t="s">
        <v>306</v>
      </c>
      <c r="C276" s="74">
        <v>1</v>
      </c>
      <c r="D276" s="74">
        <v>1</v>
      </c>
      <c r="E276" s="74">
        <v>125</v>
      </c>
      <c r="F276" s="67" t="s">
        <v>230</v>
      </c>
      <c r="G276" s="67" t="s">
        <v>1052</v>
      </c>
      <c r="H276" s="37">
        <f t="shared" si="4"/>
        <v>273</v>
      </c>
      <c r="I276" s="37"/>
      <c r="K276" s="39" t="s">
        <v>3408</v>
      </c>
      <c r="L276" s="39" t="s">
        <v>2956</v>
      </c>
    </row>
    <row r="277" spans="1:12">
      <c r="A277" s="37" t="s">
        <v>291</v>
      </c>
      <c r="B277" s="37" t="s">
        <v>293</v>
      </c>
      <c r="C277" s="74">
        <v>0</v>
      </c>
      <c r="D277" s="74">
        <v>0</v>
      </c>
      <c r="E277" s="74">
        <v>4</v>
      </c>
      <c r="F277" s="67" t="s">
        <v>230</v>
      </c>
      <c r="G277" s="67" t="s">
        <v>1052</v>
      </c>
      <c r="H277" s="37">
        <f t="shared" si="4"/>
        <v>274</v>
      </c>
      <c r="I277" s="37"/>
      <c r="K277" s="39" t="s">
        <v>3409</v>
      </c>
      <c r="L277" s="39" t="s">
        <v>3411</v>
      </c>
    </row>
    <row r="278" spans="1:12">
      <c r="A278" s="37" t="s">
        <v>292</v>
      </c>
      <c r="B278" s="37" t="s">
        <v>294</v>
      </c>
      <c r="C278" s="74">
        <v>0</v>
      </c>
      <c r="D278" s="74">
        <v>0</v>
      </c>
      <c r="E278" s="74">
        <v>4</v>
      </c>
      <c r="F278" s="67" t="s">
        <v>230</v>
      </c>
      <c r="G278" s="67" t="s">
        <v>1052</v>
      </c>
      <c r="H278" s="37">
        <f t="shared" si="4"/>
        <v>275</v>
      </c>
      <c r="I278" s="37"/>
    </row>
    <row r="279" spans="1:12">
      <c r="A279" s="37" t="s">
        <v>295</v>
      </c>
      <c r="B279" s="37" t="s">
        <v>296</v>
      </c>
      <c r="C279" s="74">
        <v>4</v>
      </c>
      <c r="D279" s="74">
        <v>0</v>
      </c>
      <c r="E279" s="74">
        <v>4</v>
      </c>
      <c r="F279" s="67" t="s">
        <v>230</v>
      </c>
      <c r="G279" s="67" t="s">
        <v>1052</v>
      </c>
      <c r="H279" s="37">
        <f t="shared" si="4"/>
        <v>276</v>
      </c>
      <c r="I279" s="37"/>
    </row>
    <row r="280" spans="1:12">
      <c r="A280" s="37" t="s">
        <v>281</v>
      </c>
      <c r="B280" s="37" t="s">
        <v>297</v>
      </c>
      <c r="C280" s="74">
        <v>1</v>
      </c>
      <c r="D280" s="74">
        <v>1</v>
      </c>
      <c r="E280" s="74">
        <v>63</v>
      </c>
      <c r="F280" s="67" t="s">
        <v>230</v>
      </c>
      <c r="G280" s="67" t="s">
        <v>1052</v>
      </c>
      <c r="H280" s="37">
        <f t="shared" si="4"/>
        <v>277</v>
      </c>
      <c r="I280" s="37"/>
    </row>
    <row r="281" spans="1:12">
      <c r="A281" s="37" t="s">
        <v>282</v>
      </c>
      <c r="B281" s="37" t="s">
        <v>298</v>
      </c>
      <c r="C281" s="74">
        <v>4</v>
      </c>
      <c r="D281" s="74">
        <v>1</v>
      </c>
      <c r="E281" s="74">
        <v>4</v>
      </c>
      <c r="F281" s="67" t="s">
        <v>230</v>
      </c>
      <c r="G281" s="67" t="s">
        <v>1052</v>
      </c>
      <c r="H281" s="37">
        <f t="shared" si="4"/>
        <v>278</v>
      </c>
      <c r="I281" s="37"/>
    </row>
    <row r="282" spans="1:12">
      <c r="A282" s="37" t="s">
        <v>301</v>
      </c>
      <c r="B282" s="37" t="s">
        <v>299</v>
      </c>
      <c r="C282" s="74">
        <v>1</v>
      </c>
      <c r="D282" s="74">
        <v>1</v>
      </c>
      <c r="E282" s="74">
        <v>2</v>
      </c>
      <c r="F282" s="67" t="s">
        <v>230</v>
      </c>
      <c r="G282" s="67" t="s">
        <v>1052</v>
      </c>
      <c r="H282" s="37">
        <f t="shared" si="4"/>
        <v>279</v>
      </c>
      <c r="I282" s="37"/>
    </row>
    <row r="283" spans="1:12">
      <c r="A283" s="37" t="s">
        <v>302</v>
      </c>
      <c r="B283" s="37" t="s">
        <v>300</v>
      </c>
      <c r="C283" s="74">
        <v>0</v>
      </c>
      <c r="D283" s="74">
        <v>0</v>
      </c>
      <c r="E283" s="74">
        <v>3</v>
      </c>
      <c r="F283" s="67" t="s">
        <v>230</v>
      </c>
      <c r="G283" s="67" t="s">
        <v>1052</v>
      </c>
      <c r="H283" s="37">
        <f t="shared" si="4"/>
        <v>280</v>
      </c>
      <c r="I283" s="37"/>
    </row>
    <row r="284" spans="1:12">
      <c r="A284" s="37" t="s">
        <v>283</v>
      </c>
      <c r="B284" s="37" t="s">
        <v>305</v>
      </c>
      <c r="C284" s="74" t="s">
        <v>303</v>
      </c>
      <c r="D284" s="74" t="s">
        <v>195</v>
      </c>
      <c r="E284" s="74" t="s">
        <v>228</v>
      </c>
      <c r="F284" s="67" t="s">
        <v>230</v>
      </c>
      <c r="G284" s="67" t="s">
        <v>1052</v>
      </c>
      <c r="H284" s="37">
        <f t="shared" si="4"/>
        <v>281</v>
      </c>
      <c r="I284" s="37"/>
    </row>
    <row r="285" spans="1:12">
      <c r="A285" s="37" t="s">
        <v>284</v>
      </c>
      <c r="B285" s="37" t="s">
        <v>309</v>
      </c>
      <c r="C285" s="74" t="s">
        <v>196</v>
      </c>
      <c r="D285" s="74" t="s">
        <v>195</v>
      </c>
      <c r="E285" s="74" t="s">
        <v>228</v>
      </c>
      <c r="F285" s="67" t="s">
        <v>230</v>
      </c>
      <c r="G285" s="67" t="s">
        <v>1052</v>
      </c>
      <c r="H285" s="37">
        <f t="shared" si="4"/>
        <v>282</v>
      </c>
      <c r="I285" s="37"/>
    </row>
    <row r="286" spans="1:12">
      <c r="A286" s="37" t="s">
        <v>285</v>
      </c>
      <c r="B286" s="37" t="s">
        <v>308</v>
      </c>
      <c r="C286" s="74" t="s">
        <v>304</v>
      </c>
      <c r="D286" s="74" t="s">
        <v>195</v>
      </c>
      <c r="E286" s="74" t="s">
        <v>228</v>
      </c>
      <c r="F286" s="67" t="s">
        <v>230</v>
      </c>
      <c r="G286" s="67" t="s">
        <v>1052</v>
      </c>
      <c r="H286" s="37">
        <f t="shared" si="4"/>
        <v>283</v>
      </c>
      <c r="I286" s="37"/>
    </row>
    <row r="287" spans="1:12">
      <c r="A287" s="37" t="s">
        <v>806</v>
      </c>
      <c r="B287" s="37" t="s">
        <v>807</v>
      </c>
      <c r="C287" s="74">
        <v>0</v>
      </c>
      <c r="D287" s="74">
        <v>0</v>
      </c>
      <c r="E287" s="74">
        <v>1</v>
      </c>
      <c r="F287" s="67" t="s">
        <v>230</v>
      </c>
      <c r="G287" s="67" t="s">
        <v>1052</v>
      </c>
      <c r="H287" s="37">
        <f t="shared" si="4"/>
        <v>284</v>
      </c>
      <c r="I287" s="37"/>
    </row>
    <row r="288" spans="1:12">
      <c r="A288" s="37" t="s">
        <v>313</v>
      </c>
      <c r="B288" s="37" t="s">
        <v>310</v>
      </c>
      <c r="C288" s="74">
        <v>1</v>
      </c>
      <c r="D288" s="74">
        <v>1</v>
      </c>
      <c r="E288" s="74">
        <v>5</v>
      </c>
      <c r="F288" s="67" t="s">
        <v>230</v>
      </c>
      <c r="G288" s="67" t="s">
        <v>1052</v>
      </c>
      <c r="H288" s="37">
        <f t="shared" si="4"/>
        <v>285</v>
      </c>
      <c r="I288" s="37"/>
    </row>
    <row r="289" spans="1:9">
      <c r="A289" s="37" t="s">
        <v>286</v>
      </c>
      <c r="B289" s="37" t="s">
        <v>311</v>
      </c>
      <c r="C289" s="74">
        <v>32</v>
      </c>
      <c r="D289" s="80">
        <v>0</v>
      </c>
      <c r="E289" s="74">
        <v>504</v>
      </c>
      <c r="F289" s="67" t="s">
        <v>230</v>
      </c>
      <c r="G289" s="67" t="s">
        <v>1052</v>
      </c>
      <c r="H289" s="37">
        <f t="shared" si="4"/>
        <v>286</v>
      </c>
      <c r="I289" s="37" t="s">
        <v>2962</v>
      </c>
    </row>
    <row r="290" spans="1:9">
      <c r="A290" s="37" t="s">
        <v>287</v>
      </c>
      <c r="B290" s="37" t="s">
        <v>312</v>
      </c>
      <c r="C290" s="74">
        <v>32</v>
      </c>
      <c r="D290" s="80">
        <v>0</v>
      </c>
      <c r="E290" s="74">
        <v>504</v>
      </c>
      <c r="F290" s="67" t="s">
        <v>230</v>
      </c>
      <c r="G290" s="67" t="s">
        <v>1052</v>
      </c>
      <c r="H290" s="37">
        <f t="shared" si="4"/>
        <v>287</v>
      </c>
      <c r="I290" s="37" t="s">
        <v>2962</v>
      </c>
    </row>
    <row r="291" spans="1:9">
      <c r="A291" s="37" t="s">
        <v>808</v>
      </c>
      <c r="B291" s="37" t="s">
        <v>810</v>
      </c>
      <c r="C291" s="74">
        <v>0</v>
      </c>
      <c r="D291" s="74">
        <v>0</v>
      </c>
      <c r="E291" s="74">
        <v>1</v>
      </c>
      <c r="F291" s="67" t="s">
        <v>230</v>
      </c>
      <c r="G291" s="67" t="s">
        <v>1052</v>
      </c>
      <c r="H291" s="37">
        <f t="shared" si="4"/>
        <v>288</v>
      </c>
      <c r="I291" s="37"/>
    </row>
    <row r="292" spans="1:9">
      <c r="A292" s="37" t="s">
        <v>809</v>
      </c>
      <c r="B292" s="37" t="s">
        <v>811</v>
      </c>
      <c r="C292" s="74">
        <v>0</v>
      </c>
      <c r="D292" s="74">
        <v>0</v>
      </c>
      <c r="E292" s="74">
        <v>1</v>
      </c>
      <c r="F292" s="67" t="s">
        <v>230</v>
      </c>
      <c r="G292" s="67" t="s">
        <v>1052</v>
      </c>
      <c r="H292" s="37">
        <f t="shared" si="4"/>
        <v>289</v>
      </c>
      <c r="I292" s="37"/>
    </row>
    <row r="293" spans="1:9">
      <c r="A293" s="37" t="s">
        <v>842</v>
      </c>
      <c r="B293" s="37" t="s">
        <v>843</v>
      </c>
      <c r="C293" s="74">
        <v>0</v>
      </c>
      <c r="D293" s="74">
        <v>0</v>
      </c>
      <c r="E293" s="74">
        <v>1</v>
      </c>
      <c r="F293" s="67" t="s">
        <v>230</v>
      </c>
      <c r="G293" s="67" t="s">
        <v>1052</v>
      </c>
      <c r="H293" s="37">
        <f t="shared" si="4"/>
        <v>290</v>
      </c>
      <c r="I293" s="37"/>
    </row>
    <row r="294" spans="1:9">
      <c r="A294" s="37" t="s">
        <v>288</v>
      </c>
      <c r="B294" s="37" t="s">
        <v>853</v>
      </c>
      <c r="C294" s="74">
        <v>32</v>
      </c>
      <c r="D294" s="74">
        <v>5</v>
      </c>
      <c r="E294" s="74">
        <v>256</v>
      </c>
      <c r="F294" s="67" t="s">
        <v>230</v>
      </c>
      <c r="G294" s="67" t="s">
        <v>1052</v>
      </c>
      <c r="H294" s="37">
        <f t="shared" si="4"/>
        <v>291</v>
      </c>
      <c r="I294" s="37"/>
    </row>
    <row r="295" spans="1:9">
      <c r="A295" s="37" t="s">
        <v>289</v>
      </c>
      <c r="B295" s="37" t="s">
        <v>314</v>
      </c>
      <c r="C295" s="74">
        <v>32</v>
      </c>
      <c r="D295" s="74">
        <v>4</v>
      </c>
      <c r="E295" s="74">
        <v>256</v>
      </c>
      <c r="F295" s="67" t="s">
        <v>230</v>
      </c>
      <c r="G295" s="67" t="s">
        <v>1052</v>
      </c>
      <c r="H295" s="37">
        <f t="shared" si="4"/>
        <v>292</v>
      </c>
      <c r="I295" s="37"/>
    </row>
    <row r="296" spans="1:9">
      <c r="A296" s="37" t="s">
        <v>854</v>
      </c>
      <c r="B296" s="37" t="s">
        <v>855</v>
      </c>
      <c r="C296" s="74">
        <v>0</v>
      </c>
      <c r="D296" s="74">
        <v>0</v>
      </c>
      <c r="E296" s="74">
        <v>65535</v>
      </c>
      <c r="F296" s="67" t="s">
        <v>230</v>
      </c>
      <c r="G296" s="67" t="s">
        <v>1052</v>
      </c>
      <c r="H296" s="37">
        <f t="shared" si="4"/>
        <v>293</v>
      </c>
      <c r="I296" s="37"/>
    </row>
    <row r="297" spans="1:9">
      <c r="A297" s="37" t="s">
        <v>998</v>
      </c>
      <c r="B297" s="37" t="s">
        <v>999</v>
      </c>
      <c r="C297" s="74">
        <v>1</v>
      </c>
      <c r="D297" s="74">
        <v>0</v>
      </c>
      <c r="E297" s="74">
        <v>2147483647</v>
      </c>
      <c r="F297" s="67" t="s">
        <v>230</v>
      </c>
      <c r="G297" s="67" t="s">
        <v>1052</v>
      </c>
      <c r="H297" s="37">
        <f t="shared" si="4"/>
        <v>294</v>
      </c>
      <c r="I297" s="37"/>
    </row>
    <row r="298" spans="1:9">
      <c r="A298" s="37" t="s">
        <v>813</v>
      </c>
      <c r="B298" s="37" t="s">
        <v>816</v>
      </c>
      <c r="C298" s="74" t="s">
        <v>812</v>
      </c>
      <c r="D298" s="74" t="s">
        <v>195</v>
      </c>
      <c r="E298" s="74" t="s">
        <v>228</v>
      </c>
      <c r="F298" s="67" t="s">
        <v>230</v>
      </c>
      <c r="G298" s="67" t="s">
        <v>1052</v>
      </c>
      <c r="H298" s="37">
        <f t="shared" si="4"/>
        <v>295</v>
      </c>
      <c r="I298" s="37"/>
    </row>
    <row r="299" spans="1:9">
      <c r="A299" s="37" t="s">
        <v>814</v>
      </c>
      <c r="B299" s="37" t="s">
        <v>817</v>
      </c>
      <c r="C299" s="74" t="s">
        <v>812</v>
      </c>
      <c r="D299" s="74" t="s">
        <v>195</v>
      </c>
      <c r="E299" s="74" t="s">
        <v>228</v>
      </c>
      <c r="F299" s="67" t="s">
        <v>230</v>
      </c>
      <c r="G299" s="67" t="s">
        <v>1052</v>
      </c>
      <c r="H299" s="37">
        <f t="shared" si="4"/>
        <v>296</v>
      </c>
      <c r="I299" s="37"/>
    </row>
    <row r="300" spans="1:9">
      <c r="A300" s="37" t="s">
        <v>815</v>
      </c>
      <c r="B300" s="37" t="s">
        <v>818</v>
      </c>
      <c r="C300" s="74" t="s">
        <v>812</v>
      </c>
      <c r="D300" s="74" t="s">
        <v>195</v>
      </c>
      <c r="E300" s="74" t="s">
        <v>228</v>
      </c>
      <c r="F300" s="67" t="s">
        <v>230</v>
      </c>
      <c r="G300" s="67" t="s">
        <v>1052</v>
      </c>
      <c r="H300" s="37">
        <f t="shared" si="4"/>
        <v>297</v>
      </c>
      <c r="I300" s="37"/>
    </row>
    <row r="301" spans="1:9">
      <c r="A301" s="37" t="s">
        <v>2971</v>
      </c>
      <c r="B301" s="37" t="s">
        <v>315</v>
      </c>
      <c r="C301" s="74">
        <v>32</v>
      </c>
      <c r="D301" s="74">
        <v>32</v>
      </c>
      <c r="E301" s="74">
        <v>360</v>
      </c>
      <c r="F301" s="67" t="s">
        <v>230</v>
      </c>
      <c r="G301" s="67" t="s">
        <v>1052</v>
      </c>
      <c r="H301" s="37">
        <f t="shared" si="4"/>
        <v>298</v>
      </c>
      <c r="I301" s="37" t="s">
        <v>2970</v>
      </c>
    </row>
    <row r="302" spans="1:9">
      <c r="A302" s="37" t="s">
        <v>2969</v>
      </c>
      <c r="B302" s="37" t="s">
        <v>856</v>
      </c>
      <c r="C302" s="74">
        <v>0</v>
      </c>
      <c r="D302" s="74">
        <v>0</v>
      </c>
      <c r="E302" s="74">
        <v>360</v>
      </c>
      <c r="F302" s="67" t="s">
        <v>230</v>
      </c>
      <c r="G302" s="67" t="s">
        <v>1052</v>
      </c>
      <c r="H302" s="37">
        <f t="shared" si="4"/>
        <v>299</v>
      </c>
      <c r="I302" s="37" t="s">
        <v>2970</v>
      </c>
    </row>
    <row r="303" spans="1:9">
      <c r="A303" s="37" t="s">
        <v>2968</v>
      </c>
      <c r="B303" s="37" t="s">
        <v>316</v>
      </c>
      <c r="C303" s="74">
        <v>0</v>
      </c>
      <c r="D303" s="74">
        <v>0</v>
      </c>
      <c r="E303" s="74">
        <v>360</v>
      </c>
      <c r="F303" s="67" t="s">
        <v>230</v>
      </c>
      <c r="G303" s="67" t="s">
        <v>1052</v>
      </c>
      <c r="H303" s="37">
        <f t="shared" si="4"/>
        <v>300</v>
      </c>
      <c r="I303" s="37" t="s">
        <v>2970</v>
      </c>
    </row>
    <row r="304" spans="1:9">
      <c r="A304" s="37" t="s">
        <v>2967</v>
      </c>
      <c r="B304" s="37" t="s">
        <v>857</v>
      </c>
      <c r="C304" s="74">
        <v>0</v>
      </c>
      <c r="D304" s="74">
        <v>0</v>
      </c>
      <c r="E304" s="74">
        <v>360</v>
      </c>
      <c r="F304" s="67" t="s">
        <v>230</v>
      </c>
      <c r="G304" s="67" t="s">
        <v>1052</v>
      </c>
      <c r="H304" s="37">
        <f t="shared" si="4"/>
        <v>301</v>
      </c>
      <c r="I304" s="37" t="s">
        <v>2970</v>
      </c>
    </row>
    <row r="305" spans="1:9">
      <c r="A305" s="37" t="s">
        <v>2966</v>
      </c>
      <c r="B305" s="37" t="s">
        <v>858</v>
      </c>
      <c r="C305" s="74">
        <v>32</v>
      </c>
      <c r="D305" s="74">
        <v>32</v>
      </c>
      <c r="E305" s="74">
        <v>360</v>
      </c>
      <c r="F305" s="67" t="s">
        <v>230</v>
      </c>
      <c r="G305" s="67" t="s">
        <v>1052</v>
      </c>
      <c r="H305" s="37">
        <f t="shared" ref="H305:H368" si="5">ROW()-3</f>
        <v>302</v>
      </c>
      <c r="I305" s="37" t="s">
        <v>2970</v>
      </c>
    </row>
    <row r="306" spans="1:9">
      <c r="A306" s="37" t="s">
        <v>2965</v>
      </c>
      <c r="B306" s="37" t="s">
        <v>859</v>
      </c>
      <c r="C306" s="74">
        <v>0</v>
      </c>
      <c r="D306" s="74">
        <v>0</v>
      </c>
      <c r="E306" s="74">
        <v>360</v>
      </c>
      <c r="F306" s="67" t="s">
        <v>230</v>
      </c>
      <c r="G306" s="67" t="s">
        <v>1052</v>
      </c>
      <c r="H306" s="37">
        <f t="shared" si="5"/>
        <v>303</v>
      </c>
      <c r="I306" s="37" t="s">
        <v>2970</v>
      </c>
    </row>
    <row r="307" spans="1:9">
      <c r="A307" s="37" t="s">
        <v>2964</v>
      </c>
      <c r="B307" s="37" t="s">
        <v>317</v>
      </c>
      <c r="C307" s="74">
        <v>0</v>
      </c>
      <c r="D307" s="74">
        <v>0</v>
      </c>
      <c r="E307" s="74">
        <v>360</v>
      </c>
      <c r="F307" s="67" t="s">
        <v>230</v>
      </c>
      <c r="G307" s="67" t="s">
        <v>1052</v>
      </c>
      <c r="H307" s="37">
        <f t="shared" si="5"/>
        <v>304</v>
      </c>
      <c r="I307" s="37" t="s">
        <v>2970</v>
      </c>
    </row>
    <row r="308" spans="1:9">
      <c r="A308" s="37" t="s">
        <v>2963</v>
      </c>
      <c r="B308" s="37" t="s">
        <v>860</v>
      </c>
      <c r="C308" s="74">
        <v>0</v>
      </c>
      <c r="D308" s="74">
        <v>0</v>
      </c>
      <c r="E308" s="74">
        <v>360</v>
      </c>
      <c r="F308" s="67" t="s">
        <v>230</v>
      </c>
      <c r="G308" s="67" t="s">
        <v>1052</v>
      </c>
      <c r="H308" s="37">
        <f t="shared" si="5"/>
        <v>305</v>
      </c>
      <c r="I308" s="37" t="s">
        <v>2970</v>
      </c>
    </row>
    <row r="309" spans="1:9">
      <c r="A309" s="37" t="s">
        <v>861</v>
      </c>
      <c r="B309" s="37" t="s">
        <v>862</v>
      </c>
      <c r="C309" s="74" t="s">
        <v>186</v>
      </c>
      <c r="D309" s="74" t="s">
        <v>186</v>
      </c>
      <c r="E309" s="74" t="s">
        <v>186</v>
      </c>
      <c r="F309" s="67" t="s">
        <v>230</v>
      </c>
      <c r="G309" s="67" t="s">
        <v>1052</v>
      </c>
      <c r="H309" s="37">
        <f t="shared" si="5"/>
        <v>306</v>
      </c>
      <c r="I309" s="37"/>
    </row>
    <row r="310" spans="1:9">
      <c r="A310" s="37" t="s">
        <v>3107</v>
      </c>
      <c r="B310" s="37" t="s">
        <v>3111</v>
      </c>
      <c r="C310" s="74" t="s">
        <v>186</v>
      </c>
      <c r="D310" s="74" t="s">
        <v>186</v>
      </c>
      <c r="E310" s="74" t="s">
        <v>186</v>
      </c>
      <c r="F310" s="67" t="s">
        <v>230</v>
      </c>
      <c r="G310" s="67" t="s">
        <v>1052</v>
      </c>
      <c r="H310" s="37">
        <f t="shared" si="5"/>
        <v>307</v>
      </c>
      <c r="I310" s="37" t="s">
        <v>3131</v>
      </c>
    </row>
    <row r="311" spans="1:9">
      <c r="A311" s="37" t="s">
        <v>3108</v>
      </c>
      <c r="B311" s="37" t="s">
        <v>3112</v>
      </c>
      <c r="C311" s="74" t="s">
        <v>186</v>
      </c>
      <c r="D311" s="74" t="s">
        <v>186</v>
      </c>
      <c r="E311" s="74" t="s">
        <v>186</v>
      </c>
      <c r="F311" s="67" t="s">
        <v>230</v>
      </c>
      <c r="G311" s="67" t="s">
        <v>1052</v>
      </c>
      <c r="H311" s="37">
        <f t="shared" si="5"/>
        <v>308</v>
      </c>
      <c r="I311" s="37" t="s">
        <v>3131</v>
      </c>
    </row>
    <row r="312" spans="1:9">
      <c r="A312" s="37" t="s">
        <v>3109</v>
      </c>
      <c r="B312" s="37" t="s">
        <v>3113</v>
      </c>
      <c r="C312" s="74" t="s">
        <v>186</v>
      </c>
      <c r="D312" s="74" t="s">
        <v>186</v>
      </c>
      <c r="E312" s="74" t="s">
        <v>186</v>
      </c>
      <c r="F312" s="67" t="s">
        <v>230</v>
      </c>
      <c r="G312" s="67" t="s">
        <v>1052</v>
      </c>
      <c r="H312" s="37">
        <f t="shared" si="5"/>
        <v>309</v>
      </c>
      <c r="I312" s="37" t="s">
        <v>3131</v>
      </c>
    </row>
    <row r="313" spans="1:9">
      <c r="A313" s="37" t="s">
        <v>3110</v>
      </c>
      <c r="B313" s="37" t="s">
        <v>3114</v>
      </c>
      <c r="C313" s="74" t="s">
        <v>186</v>
      </c>
      <c r="D313" s="74" t="s">
        <v>186</v>
      </c>
      <c r="E313" s="74" t="s">
        <v>186</v>
      </c>
      <c r="F313" s="67" t="s">
        <v>230</v>
      </c>
      <c r="G313" s="67" t="s">
        <v>1052</v>
      </c>
      <c r="H313" s="37">
        <f t="shared" si="5"/>
        <v>310</v>
      </c>
      <c r="I313" s="37" t="s">
        <v>3131</v>
      </c>
    </row>
    <row r="314" spans="1:9">
      <c r="A314" s="37" t="s">
        <v>318</v>
      </c>
      <c r="B314" s="37" t="s">
        <v>341</v>
      </c>
      <c r="C314" s="74">
        <v>0</v>
      </c>
      <c r="D314" s="74" t="s">
        <v>195</v>
      </c>
      <c r="E314" s="74" t="s">
        <v>228</v>
      </c>
      <c r="F314" s="67" t="s">
        <v>230</v>
      </c>
      <c r="G314" s="67" t="s">
        <v>1052</v>
      </c>
      <c r="H314" s="37">
        <f t="shared" si="5"/>
        <v>311</v>
      </c>
      <c r="I314" s="37"/>
    </row>
    <row r="315" spans="1:9">
      <c r="A315" s="37" t="s">
        <v>319</v>
      </c>
      <c r="B315" s="37" t="s">
        <v>342</v>
      </c>
      <c r="C315" s="74">
        <v>8</v>
      </c>
      <c r="D315" s="74">
        <v>5</v>
      </c>
      <c r="E315" s="74">
        <v>32</v>
      </c>
      <c r="F315" s="67" t="s">
        <v>230</v>
      </c>
      <c r="G315" s="67" t="s">
        <v>1052</v>
      </c>
      <c r="H315" s="37">
        <f t="shared" si="5"/>
        <v>312</v>
      </c>
      <c r="I315" s="37"/>
    </row>
    <row r="316" spans="1:9">
      <c r="A316" s="37" t="s">
        <v>320</v>
      </c>
      <c r="B316" s="37" t="s">
        <v>343</v>
      </c>
      <c r="C316" s="74">
        <v>7</v>
      </c>
      <c r="D316" s="74">
        <v>4</v>
      </c>
      <c r="E316" s="74">
        <v>32</v>
      </c>
      <c r="F316" s="67" t="s">
        <v>230</v>
      </c>
      <c r="G316" s="67" t="s">
        <v>1052</v>
      </c>
      <c r="H316" s="37">
        <f t="shared" si="5"/>
        <v>313</v>
      </c>
      <c r="I316" s="37"/>
    </row>
    <row r="317" spans="1:9">
      <c r="A317" s="37" t="s">
        <v>321</v>
      </c>
      <c r="B317" s="37" t="s">
        <v>344</v>
      </c>
      <c r="C317" s="74">
        <v>0</v>
      </c>
      <c r="D317" s="74">
        <v>0</v>
      </c>
      <c r="E317" s="74">
        <v>63</v>
      </c>
      <c r="F317" s="67" t="s">
        <v>230</v>
      </c>
      <c r="G317" s="67" t="s">
        <v>1052</v>
      </c>
      <c r="H317" s="37">
        <f t="shared" si="5"/>
        <v>314</v>
      </c>
      <c r="I317" s="37"/>
    </row>
    <row r="318" spans="1:9">
      <c r="A318" s="37" t="s">
        <v>322</v>
      </c>
      <c r="B318" s="37" t="s">
        <v>345</v>
      </c>
      <c r="C318" s="74">
        <v>2</v>
      </c>
      <c r="D318" s="74">
        <v>0</v>
      </c>
      <c r="E318" s="74">
        <v>2</v>
      </c>
      <c r="F318" s="67" t="s">
        <v>230</v>
      </c>
      <c r="G318" s="67" t="s">
        <v>1052</v>
      </c>
      <c r="H318" s="37">
        <f t="shared" si="5"/>
        <v>315</v>
      </c>
      <c r="I318" s="37"/>
    </row>
    <row r="319" spans="1:9">
      <c r="A319" s="37" t="s">
        <v>323</v>
      </c>
      <c r="B319" s="37" t="s">
        <v>346</v>
      </c>
      <c r="C319" s="74">
        <v>1</v>
      </c>
      <c r="D319" s="74">
        <v>1</v>
      </c>
      <c r="E319" s="74">
        <v>125</v>
      </c>
      <c r="F319" s="67" t="s">
        <v>230</v>
      </c>
      <c r="G319" s="67" t="s">
        <v>1052</v>
      </c>
      <c r="H319" s="37">
        <f t="shared" si="5"/>
        <v>316</v>
      </c>
      <c r="I319" s="37"/>
    </row>
    <row r="320" spans="1:9">
      <c r="A320" s="37" t="s">
        <v>324</v>
      </c>
      <c r="B320" s="37" t="s">
        <v>347</v>
      </c>
      <c r="C320" s="74">
        <v>0</v>
      </c>
      <c r="D320" s="74">
        <v>0</v>
      </c>
      <c r="E320" s="74">
        <v>4</v>
      </c>
      <c r="F320" s="67" t="s">
        <v>230</v>
      </c>
      <c r="G320" s="67" t="s">
        <v>1052</v>
      </c>
      <c r="H320" s="37">
        <f t="shared" si="5"/>
        <v>317</v>
      </c>
      <c r="I320" s="37"/>
    </row>
    <row r="321" spans="1:9">
      <c r="A321" s="37" t="s">
        <v>325</v>
      </c>
      <c r="B321" s="37" t="s">
        <v>348</v>
      </c>
      <c r="C321" s="74">
        <v>0</v>
      </c>
      <c r="D321" s="74">
        <v>0</v>
      </c>
      <c r="E321" s="74">
        <v>4</v>
      </c>
      <c r="F321" s="67" t="s">
        <v>230</v>
      </c>
      <c r="G321" s="67" t="s">
        <v>1052</v>
      </c>
      <c r="H321" s="37">
        <f t="shared" si="5"/>
        <v>318</v>
      </c>
      <c r="I321" s="37"/>
    </row>
    <row r="322" spans="1:9">
      <c r="A322" s="37" t="s">
        <v>326</v>
      </c>
      <c r="B322" s="37" t="s">
        <v>349</v>
      </c>
      <c r="C322" s="74">
        <v>4</v>
      </c>
      <c r="D322" s="74">
        <v>0</v>
      </c>
      <c r="E322" s="74">
        <v>4</v>
      </c>
      <c r="F322" s="67" t="s">
        <v>230</v>
      </c>
      <c r="G322" s="67" t="s">
        <v>1052</v>
      </c>
      <c r="H322" s="37">
        <f t="shared" si="5"/>
        <v>319</v>
      </c>
      <c r="I322" s="37"/>
    </row>
    <row r="323" spans="1:9">
      <c r="A323" s="37" t="s">
        <v>327</v>
      </c>
      <c r="B323" s="37" t="s">
        <v>350</v>
      </c>
      <c r="C323" s="74">
        <v>1</v>
      </c>
      <c r="D323" s="74">
        <v>1</v>
      </c>
      <c r="E323" s="74">
        <v>63</v>
      </c>
      <c r="F323" s="67" t="s">
        <v>230</v>
      </c>
      <c r="G323" s="67" t="s">
        <v>1052</v>
      </c>
      <c r="H323" s="37">
        <f t="shared" si="5"/>
        <v>320</v>
      </c>
      <c r="I323" s="37"/>
    </row>
    <row r="324" spans="1:9">
      <c r="A324" s="37" t="s">
        <v>328</v>
      </c>
      <c r="B324" s="37" t="s">
        <v>351</v>
      </c>
      <c r="C324" s="74">
        <v>4</v>
      </c>
      <c r="D324" s="74">
        <v>1</v>
      </c>
      <c r="E324" s="74">
        <v>4</v>
      </c>
      <c r="F324" s="67" t="s">
        <v>230</v>
      </c>
      <c r="G324" s="67" t="s">
        <v>1052</v>
      </c>
      <c r="H324" s="37">
        <f t="shared" si="5"/>
        <v>321</v>
      </c>
      <c r="I324" s="37"/>
    </row>
    <row r="325" spans="1:9">
      <c r="A325" s="37" t="s">
        <v>329</v>
      </c>
      <c r="B325" s="37" t="s">
        <v>352</v>
      </c>
      <c r="C325" s="74">
        <v>1</v>
      </c>
      <c r="D325" s="74">
        <v>1</v>
      </c>
      <c r="E325" s="74">
        <v>2</v>
      </c>
      <c r="F325" s="67" t="s">
        <v>230</v>
      </c>
      <c r="G325" s="67" t="s">
        <v>1052</v>
      </c>
      <c r="H325" s="37">
        <f t="shared" si="5"/>
        <v>322</v>
      </c>
      <c r="I325" s="37"/>
    </row>
    <row r="326" spans="1:9">
      <c r="A326" s="37" t="s">
        <v>330</v>
      </c>
      <c r="B326" s="37" t="s">
        <v>353</v>
      </c>
      <c r="C326" s="74">
        <v>0</v>
      </c>
      <c r="D326" s="74">
        <v>0</v>
      </c>
      <c r="E326" s="74">
        <v>3</v>
      </c>
      <c r="F326" s="67" t="s">
        <v>230</v>
      </c>
      <c r="G326" s="67" t="s">
        <v>1052</v>
      </c>
      <c r="H326" s="37">
        <f t="shared" si="5"/>
        <v>323</v>
      </c>
      <c r="I326" s="37"/>
    </row>
    <row r="327" spans="1:9">
      <c r="A327" s="37" t="s">
        <v>331</v>
      </c>
      <c r="B327" s="37" t="s">
        <v>354</v>
      </c>
      <c r="C327" s="74" t="s">
        <v>863</v>
      </c>
      <c r="D327" s="74" t="s">
        <v>195</v>
      </c>
      <c r="E327" s="74" t="s">
        <v>228</v>
      </c>
      <c r="F327" s="67" t="s">
        <v>230</v>
      </c>
      <c r="G327" s="67" t="s">
        <v>1052</v>
      </c>
      <c r="H327" s="37">
        <f t="shared" si="5"/>
        <v>324</v>
      </c>
      <c r="I327" s="37"/>
    </row>
    <row r="328" spans="1:9">
      <c r="A328" s="37" t="s">
        <v>332</v>
      </c>
      <c r="B328" s="37" t="s">
        <v>355</v>
      </c>
      <c r="C328" s="74" t="s">
        <v>196</v>
      </c>
      <c r="D328" s="74" t="s">
        <v>195</v>
      </c>
      <c r="E328" s="74" t="s">
        <v>228</v>
      </c>
      <c r="F328" s="67" t="s">
        <v>230</v>
      </c>
      <c r="G328" s="67" t="s">
        <v>1052</v>
      </c>
      <c r="H328" s="37">
        <f t="shared" si="5"/>
        <v>325</v>
      </c>
      <c r="I328" s="37"/>
    </row>
    <row r="329" spans="1:9">
      <c r="A329" s="37" t="s">
        <v>333</v>
      </c>
      <c r="B329" s="37" t="s">
        <v>356</v>
      </c>
      <c r="C329" s="74" t="s">
        <v>864</v>
      </c>
      <c r="D329" s="74" t="s">
        <v>195</v>
      </c>
      <c r="E329" s="74" t="s">
        <v>228</v>
      </c>
      <c r="F329" s="67" t="s">
        <v>230</v>
      </c>
      <c r="G329" s="67" t="s">
        <v>1052</v>
      </c>
      <c r="H329" s="37">
        <f t="shared" si="5"/>
        <v>326</v>
      </c>
      <c r="I329" s="37"/>
    </row>
    <row r="330" spans="1:9">
      <c r="A330" s="37" t="s">
        <v>865</v>
      </c>
      <c r="B330" s="37" t="s">
        <v>866</v>
      </c>
      <c r="C330" s="74">
        <v>0</v>
      </c>
      <c r="D330" s="74">
        <v>0</v>
      </c>
      <c r="E330" s="74">
        <v>1</v>
      </c>
      <c r="F330" s="67" t="s">
        <v>230</v>
      </c>
      <c r="G330" s="67" t="s">
        <v>1052</v>
      </c>
      <c r="H330" s="37">
        <f t="shared" si="5"/>
        <v>327</v>
      </c>
      <c r="I330" s="37"/>
    </row>
    <row r="331" spans="1:9">
      <c r="A331" s="37" t="s">
        <v>334</v>
      </c>
      <c r="B331" s="37" t="s">
        <v>357</v>
      </c>
      <c r="C331" s="74">
        <v>1</v>
      </c>
      <c r="D331" s="74">
        <v>1</v>
      </c>
      <c r="E331" s="74">
        <v>5</v>
      </c>
      <c r="F331" s="67" t="s">
        <v>230</v>
      </c>
      <c r="G331" s="67" t="s">
        <v>1052</v>
      </c>
      <c r="H331" s="37">
        <f t="shared" si="5"/>
        <v>328</v>
      </c>
      <c r="I331" s="37"/>
    </row>
    <row r="332" spans="1:9">
      <c r="A332" s="37" t="s">
        <v>335</v>
      </c>
      <c r="B332" s="37" t="s">
        <v>358</v>
      </c>
      <c r="C332" s="74">
        <v>32</v>
      </c>
      <c r="D332" s="80">
        <v>0</v>
      </c>
      <c r="E332" s="74">
        <v>504</v>
      </c>
      <c r="F332" s="67" t="s">
        <v>230</v>
      </c>
      <c r="G332" s="67" t="s">
        <v>1052</v>
      </c>
      <c r="H332" s="37">
        <f t="shared" si="5"/>
        <v>329</v>
      </c>
      <c r="I332" s="37" t="s">
        <v>2962</v>
      </c>
    </row>
    <row r="333" spans="1:9">
      <c r="A333" s="37" t="s">
        <v>336</v>
      </c>
      <c r="B333" s="37" t="s">
        <v>359</v>
      </c>
      <c r="C333" s="74">
        <v>32</v>
      </c>
      <c r="D333" s="80">
        <v>0</v>
      </c>
      <c r="E333" s="74">
        <v>504</v>
      </c>
      <c r="F333" s="67" t="s">
        <v>230</v>
      </c>
      <c r="G333" s="67" t="s">
        <v>1052</v>
      </c>
      <c r="H333" s="37">
        <f t="shared" si="5"/>
        <v>330</v>
      </c>
      <c r="I333" s="37" t="s">
        <v>2962</v>
      </c>
    </row>
    <row r="334" spans="1:9">
      <c r="A334" s="37" t="s">
        <v>867</v>
      </c>
      <c r="B334" s="37" t="s">
        <v>868</v>
      </c>
      <c r="C334" s="74">
        <v>0</v>
      </c>
      <c r="D334" s="74">
        <v>0</v>
      </c>
      <c r="E334" s="74">
        <v>1</v>
      </c>
      <c r="F334" s="67" t="s">
        <v>230</v>
      </c>
      <c r="G334" s="67" t="s">
        <v>1052</v>
      </c>
      <c r="H334" s="37">
        <f t="shared" si="5"/>
        <v>331</v>
      </c>
      <c r="I334" s="37"/>
    </row>
    <row r="335" spans="1:9">
      <c r="A335" s="37" t="s">
        <v>869</v>
      </c>
      <c r="B335" s="37" t="s">
        <v>870</v>
      </c>
      <c r="C335" s="74">
        <v>0</v>
      </c>
      <c r="D335" s="74">
        <v>0</v>
      </c>
      <c r="E335" s="74">
        <v>1</v>
      </c>
      <c r="F335" s="67" t="s">
        <v>230</v>
      </c>
      <c r="G335" s="67" t="s">
        <v>1052</v>
      </c>
      <c r="H335" s="37">
        <f t="shared" si="5"/>
        <v>332</v>
      </c>
      <c r="I335" s="37"/>
    </row>
    <row r="336" spans="1:9">
      <c r="A336" s="37" t="s">
        <v>871</v>
      </c>
      <c r="B336" s="37" t="s">
        <v>872</v>
      </c>
      <c r="C336" s="74">
        <v>0</v>
      </c>
      <c r="D336" s="74">
        <v>0</v>
      </c>
      <c r="E336" s="74">
        <v>1</v>
      </c>
      <c r="F336" s="67" t="s">
        <v>230</v>
      </c>
      <c r="G336" s="67" t="s">
        <v>1052</v>
      </c>
      <c r="H336" s="37">
        <f t="shared" si="5"/>
        <v>333</v>
      </c>
      <c r="I336" s="37"/>
    </row>
    <row r="337" spans="1:9">
      <c r="A337" s="37" t="s">
        <v>337</v>
      </c>
      <c r="B337" s="37" t="s">
        <v>360</v>
      </c>
      <c r="C337" s="74">
        <v>32</v>
      </c>
      <c r="D337" s="74">
        <v>5</v>
      </c>
      <c r="E337" s="74">
        <v>256</v>
      </c>
      <c r="F337" s="67" t="s">
        <v>230</v>
      </c>
      <c r="G337" s="67" t="s">
        <v>1052</v>
      </c>
      <c r="H337" s="37">
        <f t="shared" si="5"/>
        <v>334</v>
      </c>
      <c r="I337" s="37"/>
    </row>
    <row r="338" spans="1:9">
      <c r="A338" s="37" t="s">
        <v>338</v>
      </c>
      <c r="B338" s="37" t="s">
        <v>361</v>
      </c>
      <c r="C338" s="74">
        <v>32</v>
      </c>
      <c r="D338" s="74">
        <v>4</v>
      </c>
      <c r="E338" s="74">
        <v>256</v>
      </c>
      <c r="F338" s="67" t="s">
        <v>230</v>
      </c>
      <c r="G338" s="67" t="s">
        <v>1052</v>
      </c>
      <c r="H338" s="37">
        <f t="shared" si="5"/>
        <v>335</v>
      </c>
      <c r="I338" s="37"/>
    </row>
    <row r="339" spans="1:9">
      <c r="A339" s="37" t="s">
        <v>339</v>
      </c>
      <c r="B339" s="37" t="s">
        <v>362</v>
      </c>
      <c r="C339" s="74">
        <v>0</v>
      </c>
      <c r="D339" s="74">
        <v>0</v>
      </c>
      <c r="E339" s="74">
        <v>65535</v>
      </c>
      <c r="F339" s="67" t="s">
        <v>230</v>
      </c>
      <c r="G339" s="67" t="s">
        <v>1052</v>
      </c>
      <c r="H339" s="37">
        <f t="shared" si="5"/>
        <v>336</v>
      </c>
      <c r="I339" s="37"/>
    </row>
    <row r="340" spans="1:9">
      <c r="A340" s="37" t="s">
        <v>1001</v>
      </c>
      <c r="B340" s="37" t="s">
        <v>1002</v>
      </c>
      <c r="C340" s="74">
        <v>1</v>
      </c>
      <c r="D340" s="74">
        <v>0</v>
      </c>
      <c r="E340" s="74">
        <v>2147483647</v>
      </c>
      <c r="F340" s="67" t="s">
        <v>230</v>
      </c>
      <c r="G340" s="67" t="s">
        <v>1052</v>
      </c>
      <c r="H340" s="37">
        <f t="shared" si="5"/>
        <v>337</v>
      </c>
      <c r="I340" s="37"/>
    </row>
    <row r="341" spans="1:9">
      <c r="A341" s="37" t="s">
        <v>873</v>
      </c>
      <c r="B341" s="37" t="s">
        <v>874</v>
      </c>
      <c r="C341" s="74" t="s">
        <v>875</v>
      </c>
      <c r="D341" s="74" t="s">
        <v>195</v>
      </c>
      <c r="E341" s="74" t="s">
        <v>228</v>
      </c>
      <c r="F341" s="67" t="s">
        <v>230</v>
      </c>
      <c r="G341" s="67" t="s">
        <v>1052</v>
      </c>
      <c r="H341" s="37">
        <f t="shared" si="5"/>
        <v>338</v>
      </c>
      <c r="I341" s="37"/>
    </row>
    <row r="342" spans="1:9">
      <c r="A342" s="37" t="s">
        <v>876</v>
      </c>
      <c r="B342" s="37" t="s">
        <v>877</v>
      </c>
      <c r="C342" s="74" t="s">
        <v>875</v>
      </c>
      <c r="D342" s="74" t="s">
        <v>195</v>
      </c>
      <c r="E342" s="74" t="s">
        <v>228</v>
      </c>
      <c r="F342" s="67" t="s">
        <v>230</v>
      </c>
      <c r="G342" s="67" t="s">
        <v>1052</v>
      </c>
      <c r="H342" s="37">
        <f t="shared" si="5"/>
        <v>339</v>
      </c>
      <c r="I342" s="37"/>
    </row>
    <row r="343" spans="1:9">
      <c r="A343" s="37" t="s">
        <v>878</v>
      </c>
      <c r="B343" s="37" t="s">
        <v>879</v>
      </c>
      <c r="C343" s="74" t="s">
        <v>875</v>
      </c>
      <c r="D343" s="74" t="s">
        <v>195</v>
      </c>
      <c r="E343" s="74" t="s">
        <v>228</v>
      </c>
      <c r="F343" s="67" t="s">
        <v>230</v>
      </c>
      <c r="G343" s="67" t="s">
        <v>1052</v>
      </c>
      <c r="H343" s="37">
        <f t="shared" si="5"/>
        <v>340</v>
      </c>
      <c r="I343" s="37"/>
    </row>
    <row r="344" spans="1:9">
      <c r="A344" s="37" t="s">
        <v>2972</v>
      </c>
      <c r="B344" s="37" t="s">
        <v>363</v>
      </c>
      <c r="C344" s="74">
        <v>32</v>
      </c>
      <c r="D344" s="74">
        <v>32</v>
      </c>
      <c r="E344" s="74">
        <v>360</v>
      </c>
      <c r="F344" s="67" t="s">
        <v>230</v>
      </c>
      <c r="G344" s="67" t="s">
        <v>1052</v>
      </c>
      <c r="H344" s="37">
        <f t="shared" si="5"/>
        <v>341</v>
      </c>
      <c r="I344" s="37" t="s">
        <v>2970</v>
      </c>
    </row>
    <row r="345" spans="1:9">
      <c r="A345" s="37" t="s">
        <v>2973</v>
      </c>
      <c r="B345" s="37" t="s">
        <v>364</v>
      </c>
      <c r="C345" s="74">
        <v>0</v>
      </c>
      <c r="D345" s="74">
        <v>0</v>
      </c>
      <c r="E345" s="74">
        <v>360</v>
      </c>
      <c r="F345" s="67" t="s">
        <v>230</v>
      </c>
      <c r="G345" s="67" t="s">
        <v>1052</v>
      </c>
      <c r="H345" s="37">
        <f t="shared" si="5"/>
        <v>342</v>
      </c>
      <c r="I345" s="37" t="s">
        <v>2970</v>
      </c>
    </row>
    <row r="346" spans="1:9">
      <c r="A346" s="37" t="s">
        <v>2974</v>
      </c>
      <c r="B346" s="37" t="s">
        <v>365</v>
      </c>
      <c r="C346" s="74">
        <v>0</v>
      </c>
      <c r="D346" s="74">
        <v>0</v>
      </c>
      <c r="E346" s="74">
        <v>360</v>
      </c>
      <c r="F346" s="67" t="s">
        <v>230</v>
      </c>
      <c r="G346" s="67" t="s">
        <v>1052</v>
      </c>
      <c r="H346" s="37">
        <f t="shared" si="5"/>
        <v>343</v>
      </c>
      <c r="I346" s="37" t="s">
        <v>2970</v>
      </c>
    </row>
    <row r="347" spans="1:9">
      <c r="A347" s="37" t="s">
        <v>2975</v>
      </c>
      <c r="B347" s="37" t="s">
        <v>366</v>
      </c>
      <c r="C347" s="74">
        <v>0</v>
      </c>
      <c r="D347" s="74">
        <v>0</v>
      </c>
      <c r="E347" s="74">
        <v>360</v>
      </c>
      <c r="F347" s="67" t="s">
        <v>230</v>
      </c>
      <c r="G347" s="67" t="s">
        <v>1052</v>
      </c>
      <c r="H347" s="37">
        <f t="shared" si="5"/>
        <v>344</v>
      </c>
      <c r="I347" s="37" t="s">
        <v>2970</v>
      </c>
    </row>
    <row r="348" spans="1:9">
      <c r="A348" s="37" t="s">
        <v>2976</v>
      </c>
      <c r="B348" s="37" t="s">
        <v>367</v>
      </c>
      <c r="C348" s="74">
        <v>32</v>
      </c>
      <c r="D348" s="74">
        <v>32</v>
      </c>
      <c r="E348" s="74">
        <v>360</v>
      </c>
      <c r="F348" s="67" t="s">
        <v>230</v>
      </c>
      <c r="G348" s="67" t="s">
        <v>1052</v>
      </c>
      <c r="H348" s="37">
        <f t="shared" si="5"/>
        <v>345</v>
      </c>
      <c r="I348" s="37" t="s">
        <v>2970</v>
      </c>
    </row>
    <row r="349" spans="1:9">
      <c r="A349" s="37" t="s">
        <v>2977</v>
      </c>
      <c r="B349" s="37" t="s">
        <v>368</v>
      </c>
      <c r="C349" s="74">
        <v>0</v>
      </c>
      <c r="D349" s="74">
        <v>0</v>
      </c>
      <c r="E349" s="74">
        <v>360</v>
      </c>
      <c r="F349" s="67" t="s">
        <v>230</v>
      </c>
      <c r="G349" s="67" t="s">
        <v>1052</v>
      </c>
      <c r="H349" s="37">
        <f t="shared" si="5"/>
        <v>346</v>
      </c>
      <c r="I349" s="37" t="s">
        <v>2970</v>
      </c>
    </row>
    <row r="350" spans="1:9">
      <c r="A350" s="37" t="s">
        <v>2978</v>
      </c>
      <c r="B350" s="37" t="s">
        <v>369</v>
      </c>
      <c r="C350" s="74">
        <v>0</v>
      </c>
      <c r="D350" s="74">
        <v>0</v>
      </c>
      <c r="E350" s="74">
        <v>360</v>
      </c>
      <c r="F350" s="67" t="s">
        <v>230</v>
      </c>
      <c r="G350" s="67" t="s">
        <v>1052</v>
      </c>
      <c r="H350" s="37">
        <f t="shared" si="5"/>
        <v>347</v>
      </c>
      <c r="I350" s="37" t="s">
        <v>2970</v>
      </c>
    </row>
    <row r="351" spans="1:9">
      <c r="A351" s="37" t="s">
        <v>2979</v>
      </c>
      <c r="B351" s="37" t="s">
        <v>370</v>
      </c>
      <c r="C351" s="74">
        <v>0</v>
      </c>
      <c r="D351" s="74">
        <v>0</v>
      </c>
      <c r="E351" s="74">
        <v>360</v>
      </c>
      <c r="F351" s="67" t="s">
        <v>230</v>
      </c>
      <c r="G351" s="67" t="s">
        <v>1052</v>
      </c>
      <c r="H351" s="37">
        <f t="shared" si="5"/>
        <v>348</v>
      </c>
      <c r="I351" s="37" t="s">
        <v>2970</v>
      </c>
    </row>
    <row r="352" spans="1:9">
      <c r="A352" s="37" t="s">
        <v>340</v>
      </c>
      <c r="B352" s="37" t="s">
        <v>371</v>
      </c>
      <c r="C352" s="74" t="s">
        <v>186</v>
      </c>
      <c r="D352" s="74" t="s">
        <v>186</v>
      </c>
      <c r="E352" s="74" t="s">
        <v>186</v>
      </c>
      <c r="F352" s="67" t="s">
        <v>230</v>
      </c>
      <c r="G352" s="67" t="s">
        <v>1052</v>
      </c>
      <c r="H352" s="37">
        <f t="shared" si="5"/>
        <v>349</v>
      </c>
      <c r="I352" s="37"/>
    </row>
    <row r="353" spans="1:9">
      <c r="A353" s="37" t="s">
        <v>3115</v>
      </c>
      <c r="B353" s="37" t="s">
        <v>3116</v>
      </c>
      <c r="C353" s="74" t="s">
        <v>186</v>
      </c>
      <c r="D353" s="74" t="s">
        <v>186</v>
      </c>
      <c r="E353" s="74" t="s">
        <v>186</v>
      </c>
      <c r="F353" s="67" t="s">
        <v>230</v>
      </c>
      <c r="G353" s="67" t="s">
        <v>1052</v>
      </c>
      <c r="H353" s="37">
        <f t="shared" si="5"/>
        <v>350</v>
      </c>
      <c r="I353" s="37" t="s">
        <v>3131</v>
      </c>
    </row>
    <row r="354" spans="1:9">
      <c r="A354" s="37" t="s">
        <v>3122</v>
      </c>
      <c r="B354" s="37" t="s">
        <v>3117</v>
      </c>
      <c r="C354" s="74" t="s">
        <v>186</v>
      </c>
      <c r="D354" s="74" t="s">
        <v>186</v>
      </c>
      <c r="E354" s="74" t="s">
        <v>186</v>
      </c>
      <c r="F354" s="67" t="s">
        <v>230</v>
      </c>
      <c r="G354" s="67" t="s">
        <v>1052</v>
      </c>
      <c r="H354" s="37">
        <f t="shared" si="5"/>
        <v>351</v>
      </c>
      <c r="I354" s="37" t="s">
        <v>3131</v>
      </c>
    </row>
    <row r="355" spans="1:9">
      <c r="A355" s="37" t="s">
        <v>3121</v>
      </c>
      <c r="B355" s="37" t="s">
        <v>3118</v>
      </c>
      <c r="C355" s="74" t="s">
        <v>186</v>
      </c>
      <c r="D355" s="74" t="s">
        <v>186</v>
      </c>
      <c r="E355" s="74" t="s">
        <v>186</v>
      </c>
      <c r="F355" s="67" t="s">
        <v>230</v>
      </c>
      <c r="G355" s="67" t="s">
        <v>1052</v>
      </c>
      <c r="H355" s="37">
        <f t="shared" si="5"/>
        <v>352</v>
      </c>
      <c r="I355" s="37" t="s">
        <v>3131</v>
      </c>
    </row>
    <row r="356" spans="1:9">
      <c r="A356" s="37" t="s">
        <v>3120</v>
      </c>
      <c r="B356" s="37" t="s">
        <v>3119</v>
      </c>
      <c r="C356" s="74" t="s">
        <v>186</v>
      </c>
      <c r="D356" s="74" t="s">
        <v>186</v>
      </c>
      <c r="E356" s="74" t="s">
        <v>186</v>
      </c>
      <c r="F356" s="67" t="s">
        <v>230</v>
      </c>
      <c r="G356" s="67" t="s">
        <v>1052</v>
      </c>
      <c r="H356" s="37">
        <f t="shared" si="5"/>
        <v>353</v>
      </c>
      <c r="I356" s="37" t="s">
        <v>3131</v>
      </c>
    </row>
    <row r="357" spans="1:9">
      <c r="A357" s="37" t="s">
        <v>403</v>
      </c>
      <c r="B357" s="37" t="s">
        <v>372</v>
      </c>
      <c r="C357" s="74">
        <v>0</v>
      </c>
      <c r="D357" s="74" t="s">
        <v>195</v>
      </c>
      <c r="E357" s="74" t="s">
        <v>228</v>
      </c>
      <c r="F357" s="67" t="s">
        <v>230</v>
      </c>
      <c r="G357" s="67" t="s">
        <v>1052</v>
      </c>
      <c r="H357" s="37">
        <f t="shared" si="5"/>
        <v>354</v>
      </c>
      <c r="I357" s="37"/>
    </row>
    <row r="358" spans="1:9">
      <c r="A358" s="37" t="s">
        <v>404</v>
      </c>
      <c r="B358" s="37" t="s">
        <v>373</v>
      </c>
      <c r="C358" s="74">
        <v>8</v>
      </c>
      <c r="D358" s="74">
        <v>5</v>
      </c>
      <c r="E358" s="74">
        <v>32</v>
      </c>
      <c r="F358" s="67" t="s">
        <v>230</v>
      </c>
      <c r="G358" s="67" t="s">
        <v>1052</v>
      </c>
      <c r="H358" s="37">
        <f t="shared" si="5"/>
        <v>355</v>
      </c>
      <c r="I358" s="37"/>
    </row>
    <row r="359" spans="1:9">
      <c r="A359" s="37" t="s">
        <v>405</v>
      </c>
      <c r="B359" s="37" t="s">
        <v>374</v>
      </c>
      <c r="C359" s="74">
        <v>7</v>
      </c>
      <c r="D359" s="74">
        <v>4</v>
      </c>
      <c r="E359" s="74">
        <v>32</v>
      </c>
      <c r="F359" s="67" t="s">
        <v>230</v>
      </c>
      <c r="G359" s="67" t="s">
        <v>1052</v>
      </c>
      <c r="H359" s="37">
        <f t="shared" si="5"/>
        <v>356</v>
      </c>
      <c r="I359" s="37"/>
    </row>
    <row r="360" spans="1:9">
      <c r="A360" s="37" t="s">
        <v>406</v>
      </c>
      <c r="B360" s="37" t="s">
        <v>375</v>
      </c>
      <c r="C360" s="74">
        <v>0</v>
      </c>
      <c r="D360" s="74">
        <v>0</v>
      </c>
      <c r="E360" s="74">
        <v>63</v>
      </c>
      <c r="F360" s="67" t="s">
        <v>230</v>
      </c>
      <c r="G360" s="67" t="s">
        <v>1052</v>
      </c>
      <c r="H360" s="37">
        <f t="shared" si="5"/>
        <v>357</v>
      </c>
      <c r="I360" s="37"/>
    </row>
    <row r="361" spans="1:9">
      <c r="A361" s="37" t="s">
        <v>407</v>
      </c>
      <c r="B361" s="37" t="s">
        <v>376</v>
      </c>
      <c r="C361" s="74">
        <v>2</v>
      </c>
      <c r="D361" s="74">
        <v>0</v>
      </c>
      <c r="E361" s="74">
        <v>2</v>
      </c>
      <c r="F361" s="67" t="s">
        <v>230</v>
      </c>
      <c r="G361" s="67" t="s">
        <v>1052</v>
      </c>
      <c r="H361" s="37">
        <f t="shared" si="5"/>
        <v>358</v>
      </c>
      <c r="I361" s="37"/>
    </row>
    <row r="362" spans="1:9">
      <c r="A362" s="37" t="s">
        <v>408</v>
      </c>
      <c r="B362" s="37" t="s">
        <v>377</v>
      </c>
      <c r="C362" s="74">
        <v>1</v>
      </c>
      <c r="D362" s="74">
        <v>1</v>
      </c>
      <c r="E362" s="74">
        <v>125</v>
      </c>
      <c r="F362" s="67" t="s">
        <v>230</v>
      </c>
      <c r="G362" s="67" t="s">
        <v>1052</v>
      </c>
      <c r="H362" s="37">
        <f t="shared" si="5"/>
        <v>359</v>
      </c>
      <c r="I362" s="37"/>
    </row>
    <row r="363" spans="1:9">
      <c r="A363" s="37" t="s">
        <v>409</v>
      </c>
      <c r="B363" s="37" t="s">
        <v>378</v>
      </c>
      <c r="C363" s="74">
        <v>0</v>
      </c>
      <c r="D363" s="74">
        <v>0</v>
      </c>
      <c r="E363" s="74">
        <v>4</v>
      </c>
      <c r="F363" s="67" t="s">
        <v>230</v>
      </c>
      <c r="G363" s="67" t="s">
        <v>1052</v>
      </c>
      <c r="H363" s="37">
        <f t="shared" si="5"/>
        <v>360</v>
      </c>
      <c r="I363" s="37"/>
    </row>
    <row r="364" spans="1:9">
      <c r="A364" s="37" t="s">
        <v>410</v>
      </c>
      <c r="B364" s="37" t="s">
        <v>379</v>
      </c>
      <c r="C364" s="74">
        <v>0</v>
      </c>
      <c r="D364" s="74">
        <v>0</v>
      </c>
      <c r="E364" s="74">
        <v>4</v>
      </c>
      <c r="F364" s="67" t="s">
        <v>230</v>
      </c>
      <c r="G364" s="67" t="s">
        <v>1052</v>
      </c>
      <c r="H364" s="37">
        <f t="shared" si="5"/>
        <v>361</v>
      </c>
      <c r="I364" s="37"/>
    </row>
    <row r="365" spans="1:9">
      <c r="A365" s="37" t="s">
        <v>411</v>
      </c>
      <c r="B365" s="37" t="s">
        <v>380</v>
      </c>
      <c r="C365" s="74">
        <v>4</v>
      </c>
      <c r="D365" s="74">
        <v>0</v>
      </c>
      <c r="E365" s="74">
        <v>4</v>
      </c>
      <c r="F365" s="67" t="s">
        <v>230</v>
      </c>
      <c r="G365" s="67" t="s">
        <v>1052</v>
      </c>
      <c r="H365" s="37">
        <f t="shared" si="5"/>
        <v>362</v>
      </c>
      <c r="I365" s="37"/>
    </row>
    <row r="366" spans="1:9">
      <c r="A366" s="37" t="s">
        <v>412</v>
      </c>
      <c r="B366" s="37" t="s">
        <v>381</v>
      </c>
      <c r="C366" s="74">
        <v>1</v>
      </c>
      <c r="D366" s="74">
        <v>1</v>
      </c>
      <c r="E366" s="74">
        <v>63</v>
      </c>
      <c r="F366" s="67" t="s">
        <v>230</v>
      </c>
      <c r="G366" s="67" t="s">
        <v>1052</v>
      </c>
      <c r="H366" s="37">
        <f t="shared" si="5"/>
        <v>363</v>
      </c>
      <c r="I366" s="37"/>
    </row>
    <row r="367" spans="1:9">
      <c r="A367" s="37" t="s">
        <v>413</v>
      </c>
      <c r="B367" s="37" t="s">
        <v>382</v>
      </c>
      <c r="C367" s="74">
        <v>4</v>
      </c>
      <c r="D367" s="74">
        <v>1</v>
      </c>
      <c r="E367" s="74">
        <v>4</v>
      </c>
      <c r="F367" s="67" t="s">
        <v>230</v>
      </c>
      <c r="G367" s="67" t="s">
        <v>1052</v>
      </c>
      <c r="H367" s="37">
        <f t="shared" si="5"/>
        <v>364</v>
      </c>
      <c r="I367" s="37"/>
    </row>
    <row r="368" spans="1:9">
      <c r="A368" s="37" t="s">
        <v>414</v>
      </c>
      <c r="B368" s="37" t="s">
        <v>383</v>
      </c>
      <c r="C368" s="74">
        <v>1</v>
      </c>
      <c r="D368" s="74">
        <v>1</v>
      </c>
      <c r="E368" s="74">
        <v>2</v>
      </c>
      <c r="F368" s="67" t="s">
        <v>230</v>
      </c>
      <c r="G368" s="67" t="s">
        <v>1052</v>
      </c>
      <c r="H368" s="37">
        <f t="shared" si="5"/>
        <v>365</v>
      </c>
      <c r="I368" s="37"/>
    </row>
    <row r="369" spans="1:9">
      <c r="A369" s="37" t="s">
        <v>415</v>
      </c>
      <c r="B369" s="37" t="s">
        <v>384</v>
      </c>
      <c r="C369" s="74">
        <v>0</v>
      </c>
      <c r="D369" s="74">
        <v>0</v>
      </c>
      <c r="E369" s="74">
        <v>3</v>
      </c>
      <c r="F369" s="67" t="s">
        <v>230</v>
      </c>
      <c r="G369" s="67" t="s">
        <v>1052</v>
      </c>
      <c r="H369" s="37">
        <f t="shared" ref="H369:H432" si="6">ROW()-3</f>
        <v>366</v>
      </c>
      <c r="I369" s="37"/>
    </row>
    <row r="370" spans="1:9">
      <c r="A370" s="37" t="s">
        <v>416</v>
      </c>
      <c r="B370" s="37" t="s">
        <v>385</v>
      </c>
      <c r="C370" s="74" t="s">
        <v>880</v>
      </c>
      <c r="D370" s="74" t="s">
        <v>195</v>
      </c>
      <c r="E370" s="74" t="s">
        <v>228</v>
      </c>
      <c r="F370" s="67" t="s">
        <v>230</v>
      </c>
      <c r="G370" s="67" t="s">
        <v>1052</v>
      </c>
      <c r="H370" s="37">
        <f t="shared" si="6"/>
        <v>367</v>
      </c>
      <c r="I370" s="37"/>
    </row>
    <row r="371" spans="1:9">
      <c r="A371" s="37" t="s">
        <v>417</v>
      </c>
      <c r="B371" s="37" t="s">
        <v>386</v>
      </c>
      <c r="C371" s="74" t="s">
        <v>196</v>
      </c>
      <c r="D371" s="74" t="s">
        <v>195</v>
      </c>
      <c r="E371" s="74" t="s">
        <v>228</v>
      </c>
      <c r="F371" s="67" t="s">
        <v>230</v>
      </c>
      <c r="G371" s="67" t="s">
        <v>1052</v>
      </c>
      <c r="H371" s="37">
        <f t="shared" si="6"/>
        <v>368</v>
      </c>
      <c r="I371" s="37"/>
    </row>
    <row r="372" spans="1:9">
      <c r="A372" s="37" t="s">
        <v>418</v>
      </c>
      <c r="B372" s="37" t="s">
        <v>387</v>
      </c>
      <c r="C372" s="74" t="s">
        <v>881</v>
      </c>
      <c r="D372" s="74" t="s">
        <v>195</v>
      </c>
      <c r="E372" s="74" t="s">
        <v>228</v>
      </c>
      <c r="F372" s="67" t="s">
        <v>230</v>
      </c>
      <c r="G372" s="67" t="s">
        <v>1052</v>
      </c>
      <c r="H372" s="37">
        <f t="shared" si="6"/>
        <v>369</v>
      </c>
      <c r="I372" s="37"/>
    </row>
    <row r="373" spans="1:9">
      <c r="A373" s="37" t="s">
        <v>882</v>
      </c>
      <c r="B373" s="37" t="s">
        <v>883</v>
      </c>
      <c r="C373" s="74">
        <v>0</v>
      </c>
      <c r="D373" s="74">
        <v>0</v>
      </c>
      <c r="E373" s="74">
        <v>1</v>
      </c>
      <c r="F373" s="67" t="s">
        <v>230</v>
      </c>
      <c r="G373" s="67" t="s">
        <v>1052</v>
      </c>
      <c r="H373" s="37">
        <f t="shared" si="6"/>
        <v>370</v>
      </c>
      <c r="I373" s="37"/>
    </row>
    <row r="374" spans="1:9">
      <c r="A374" s="37" t="s">
        <v>419</v>
      </c>
      <c r="B374" s="37" t="s">
        <v>388</v>
      </c>
      <c r="C374" s="74">
        <v>1</v>
      </c>
      <c r="D374" s="74">
        <v>1</v>
      </c>
      <c r="E374" s="74">
        <v>5</v>
      </c>
      <c r="F374" s="67" t="s">
        <v>230</v>
      </c>
      <c r="G374" s="67" t="s">
        <v>1052</v>
      </c>
      <c r="H374" s="37">
        <f t="shared" si="6"/>
        <v>371</v>
      </c>
      <c r="I374" s="37"/>
    </row>
    <row r="375" spans="1:9">
      <c r="A375" s="37" t="s">
        <v>420</v>
      </c>
      <c r="B375" s="37" t="s">
        <v>389</v>
      </c>
      <c r="C375" s="74">
        <v>32</v>
      </c>
      <c r="D375" s="80">
        <v>0</v>
      </c>
      <c r="E375" s="74">
        <v>504</v>
      </c>
      <c r="F375" s="67" t="s">
        <v>230</v>
      </c>
      <c r="G375" s="67" t="s">
        <v>1052</v>
      </c>
      <c r="H375" s="37">
        <f t="shared" si="6"/>
        <v>372</v>
      </c>
      <c r="I375" s="37" t="s">
        <v>2962</v>
      </c>
    </row>
    <row r="376" spans="1:9">
      <c r="A376" s="37" t="s">
        <v>421</v>
      </c>
      <c r="B376" s="37" t="s">
        <v>390</v>
      </c>
      <c r="C376" s="74">
        <v>32</v>
      </c>
      <c r="D376" s="80">
        <v>0</v>
      </c>
      <c r="E376" s="74">
        <v>504</v>
      </c>
      <c r="F376" s="67" t="s">
        <v>230</v>
      </c>
      <c r="G376" s="67" t="s">
        <v>1052</v>
      </c>
      <c r="H376" s="37">
        <f t="shared" si="6"/>
        <v>373</v>
      </c>
      <c r="I376" s="37" t="s">
        <v>2962</v>
      </c>
    </row>
    <row r="377" spans="1:9">
      <c r="A377" s="37" t="s">
        <v>884</v>
      </c>
      <c r="B377" s="37" t="s">
        <v>885</v>
      </c>
      <c r="C377" s="74">
        <v>0</v>
      </c>
      <c r="D377" s="74">
        <v>0</v>
      </c>
      <c r="E377" s="74">
        <v>1</v>
      </c>
      <c r="F377" s="67" t="s">
        <v>230</v>
      </c>
      <c r="G377" s="67" t="s">
        <v>1052</v>
      </c>
      <c r="H377" s="37">
        <f t="shared" si="6"/>
        <v>374</v>
      </c>
      <c r="I377" s="37"/>
    </row>
    <row r="378" spans="1:9">
      <c r="A378" s="37" t="s">
        <v>886</v>
      </c>
      <c r="B378" s="37" t="s">
        <v>887</v>
      </c>
      <c r="C378" s="74">
        <v>0</v>
      </c>
      <c r="D378" s="74">
        <v>0</v>
      </c>
      <c r="E378" s="74">
        <v>1</v>
      </c>
      <c r="F378" s="67" t="s">
        <v>230</v>
      </c>
      <c r="G378" s="67" t="s">
        <v>1052</v>
      </c>
      <c r="H378" s="37">
        <f t="shared" si="6"/>
        <v>375</v>
      </c>
      <c r="I378" s="37"/>
    </row>
    <row r="379" spans="1:9">
      <c r="A379" s="37" t="s">
        <v>888</v>
      </c>
      <c r="B379" s="37" t="s">
        <v>889</v>
      </c>
      <c r="C379" s="74">
        <v>0</v>
      </c>
      <c r="D379" s="74">
        <v>0</v>
      </c>
      <c r="E379" s="74">
        <v>1</v>
      </c>
      <c r="F379" s="67" t="s">
        <v>230</v>
      </c>
      <c r="G379" s="67" t="s">
        <v>1052</v>
      </c>
      <c r="H379" s="37">
        <f t="shared" si="6"/>
        <v>376</v>
      </c>
      <c r="I379" s="37"/>
    </row>
    <row r="380" spans="1:9">
      <c r="A380" s="37" t="s">
        <v>422</v>
      </c>
      <c r="B380" s="37" t="s">
        <v>391</v>
      </c>
      <c r="C380" s="74">
        <v>32</v>
      </c>
      <c r="D380" s="74">
        <v>5</v>
      </c>
      <c r="E380" s="74">
        <v>256</v>
      </c>
      <c r="F380" s="67" t="s">
        <v>230</v>
      </c>
      <c r="G380" s="67" t="s">
        <v>1052</v>
      </c>
      <c r="H380" s="37">
        <f t="shared" si="6"/>
        <v>377</v>
      </c>
      <c r="I380" s="37"/>
    </row>
    <row r="381" spans="1:9">
      <c r="A381" s="37" t="s">
        <v>423</v>
      </c>
      <c r="B381" s="37" t="s">
        <v>392</v>
      </c>
      <c r="C381" s="74">
        <v>32</v>
      </c>
      <c r="D381" s="74">
        <v>4</v>
      </c>
      <c r="E381" s="74">
        <v>256</v>
      </c>
      <c r="F381" s="67" t="s">
        <v>230</v>
      </c>
      <c r="G381" s="67" t="s">
        <v>1052</v>
      </c>
      <c r="H381" s="37">
        <f t="shared" si="6"/>
        <v>378</v>
      </c>
      <c r="I381" s="37"/>
    </row>
    <row r="382" spans="1:9">
      <c r="A382" s="37" t="s">
        <v>424</v>
      </c>
      <c r="B382" s="37" t="s">
        <v>393</v>
      </c>
      <c r="C382" s="74">
        <v>0</v>
      </c>
      <c r="D382" s="74">
        <v>0</v>
      </c>
      <c r="E382" s="74">
        <v>65535</v>
      </c>
      <c r="F382" s="67" t="s">
        <v>230</v>
      </c>
      <c r="G382" s="67" t="s">
        <v>1052</v>
      </c>
      <c r="H382" s="37">
        <f t="shared" si="6"/>
        <v>379</v>
      </c>
      <c r="I382" s="37"/>
    </row>
    <row r="383" spans="1:9">
      <c r="A383" s="37" t="s">
        <v>1000</v>
      </c>
      <c r="B383" s="37" t="s">
        <v>1003</v>
      </c>
      <c r="C383" s="74">
        <v>1</v>
      </c>
      <c r="D383" s="74">
        <v>0</v>
      </c>
      <c r="E383" s="74">
        <v>2147483647</v>
      </c>
      <c r="F383" s="67" t="s">
        <v>230</v>
      </c>
      <c r="G383" s="67" t="s">
        <v>1052</v>
      </c>
      <c r="H383" s="37">
        <f t="shared" si="6"/>
        <v>380</v>
      </c>
      <c r="I383" s="37"/>
    </row>
    <row r="384" spans="1:9">
      <c r="A384" s="37" t="s">
        <v>890</v>
      </c>
      <c r="B384" s="37" t="s">
        <v>891</v>
      </c>
      <c r="C384" s="74" t="s">
        <v>892</v>
      </c>
      <c r="D384" s="74" t="s">
        <v>195</v>
      </c>
      <c r="E384" s="74" t="s">
        <v>228</v>
      </c>
      <c r="F384" s="67" t="s">
        <v>230</v>
      </c>
      <c r="G384" s="67" t="s">
        <v>1052</v>
      </c>
      <c r="H384" s="37">
        <f t="shared" si="6"/>
        <v>381</v>
      </c>
      <c r="I384" s="37"/>
    </row>
    <row r="385" spans="1:9">
      <c r="A385" s="37" t="s">
        <v>893</v>
      </c>
      <c r="B385" s="37" t="s">
        <v>894</v>
      </c>
      <c r="C385" s="74" t="s">
        <v>892</v>
      </c>
      <c r="D385" s="74" t="s">
        <v>195</v>
      </c>
      <c r="E385" s="74" t="s">
        <v>228</v>
      </c>
      <c r="F385" s="67" t="s">
        <v>230</v>
      </c>
      <c r="G385" s="67" t="s">
        <v>1052</v>
      </c>
      <c r="H385" s="37">
        <f t="shared" si="6"/>
        <v>382</v>
      </c>
      <c r="I385" s="37"/>
    </row>
    <row r="386" spans="1:9">
      <c r="A386" s="37" t="s">
        <v>895</v>
      </c>
      <c r="B386" s="37" t="s">
        <v>896</v>
      </c>
      <c r="C386" s="74" t="s">
        <v>892</v>
      </c>
      <c r="D386" s="74" t="s">
        <v>195</v>
      </c>
      <c r="E386" s="74" t="s">
        <v>228</v>
      </c>
      <c r="F386" s="67" t="s">
        <v>230</v>
      </c>
      <c r="G386" s="67" t="s">
        <v>1052</v>
      </c>
      <c r="H386" s="37">
        <f t="shared" si="6"/>
        <v>383</v>
      </c>
      <c r="I386" s="37"/>
    </row>
    <row r="387" spans="1:9">
      <c r="A387" s="37" t="s">
        <v>2980</v>
      </c>
      <c r="B387" s="37" t="s">
        <v>394</v>
      </c>
      <c r="C387" s="74">
        <v>32</v>
      </c>
      <c r="D387" s="74">
        <v>32</v>
      </c>
      <c r="E387" s="74">
        <v>360</v>
      </c>
      <c r="F387" s="67" t="s">
        <v>230</v>
      </c>
      <c r="G387" s="67" t="s">
        <v>1052</v>
      </c>
      <c r="H387" s="37">
        <f t="shared" si="6"/>
        <v>384</v>
      </c>
      <c r="I387" s="37" t="s">
        <v>2970</v>
      </c>
    </row>
    <row r="388" spans="1:9">
      <c r="A388" s="37" t="s">
        <v>2981</v>
      </c>
      <c r="B388" s="37" t="s">
        <v>395</v>
      </c>
      <c r="C388" s="74">
        <v>0</v>
      </c>
      <c r="D388" s="74">
        <v>0</v>
      </c>
      <c r="E388" s="74">
        <v>360</v>
      </c>
      <c r="F388" s="67" t="s">
        <v>230</v>
      </c>
      <c r="G388" s="67" t="s">
        <v>1052</v>
      </c>
      <c r="H388" s="37">
        <f t="shared" si="6"/>
        <v>385</v>
      </c>
      <c r="I388" s="37" t="s">
        <v>2970</v>
      </c>
    </row>
    <row r="389" spans="1:9">
      <c r="A389" s="37" t="s">
        <v>2982</v>
      </c>
      <c r="B389" s="37" t="s">
        <v>396</v>
      </c>
      <c r="C389" s="74">
        <v>0</v>
      </c>
      <c r="D389" s="74">
        <v>0</v>
      </c>
      <c r="E389" s="74">
        <v>360</v>
      </c>
      <c r="F389" s="67" t="s">
        <v>230</v>
      </c>
      <c r="G389" s="67" t="s">
        <v>1052</v>
      </c>
      <c r="H389" s="37">
        <f t="shared" si="6"/>
        <v>386</v>
      </c>
      <c r="I389" s="37" t="s">
        <v>2970</v>
      </c>
    </row>
    <row r="390" spans="1:9">
      <c r="A390" s="37" t="s">
        <v>2983</v>
      </c>
      <c r="B390" s="37" t="s">
        <v>397</v>
      </c>
      <c r="C390" s="74">
        <v>0</v>
      </c>
      <c r="D390" s="74">
        <v>0</v>
      </c>
      <c r="E390" s="74">
        <v>360</v>
      </c>
      <c r="F390" s="67" t="s">
        <v>230</v>
      </c>
      <c r="G390" s="67" t="s">
        <v>1052</v>
      </c>
      <c r="H390" s="37">
        <f t="shared" si="6"/>
        <v>387</v>
      </c>
      <c r="I390" s="37" t="s">
        <v>2970</v>
      </c>
    </row>
    <row r="391" spans="1:9">
      <c r="A391" s="37" t="s">
        <v>2984</v>
      </c>
      <c r="B391" s="37" t="s">
        <v>398</v>
      </c>
      <c r="C391" s="74">
        <v>32</v>
      </c>
      <c r="D391" s="74">
        <v>32</v>
      </c>
      <c r="E391" s="74">
        <v>360</v>
      </c>
      <c r="F391" s="67" t="s">
        <v>230</v>
      </c>
      <c r="G391" s="67" t="s">
        <v>1052</v>
      </c>
      <c r="H391" s="37">
        <f t="shared" si="6"/>
        <v>388</v>
      </c>
      <c r="I391" s="37" t="s">
        <v>2970</v>
      </c>
    </row>
    <row r="392" spans="1:9">
      <c r="A392" s="37" t="s">
        <v>2985</v>
      </c>
      <c r="B392" s="37" t="s">
        <v>399</v>
      </c>
      <c r="C392" s="74">
        <v>0</v>
      </c>
      <c r="D392" s="74">
        <v>0</v>
      </c>
      <c r="E392" s="74">
        <v>360</v>
      </c>
      <c r="F392" s="67" t="s">
        <v>230</v>
      </c>
      <c r="G392" s="67" t="s">
        <v>1052</v>
      </c>
      <c r="H392" s="37">
        <f t="shared" si="6"/>
        <v>389</v>
      </c>
      <c r="I392" s="37" t="s">
        <v>2970</v>
      </c>
    </row>
    <row r="393" spans="1:9">
      <c r="A393" s="37" t="s">
        <v>2986</v>
      </c>
      <c r="B393" s="37" t="s">
        <v>400</v>
      </c>
      <c r="C393" s="74">
        <v>0</v>
      </c>
      <c r="D393" s="74">
        <v>0</v>
      </c>
      <c r="E393" s="74">
        <v>360</v>
      </c>
      <c r="F393" s="67" t="s">
        <v>230</v>
      </c>
      <c r="G393" s="67" t="s">
        <v>1052</v>
      </c>
      <c r="H393" s="37">
        <f t="shared" si="6"/>
        <v>390</v>
      </c>
      <c r="I393" s="37" t="s">
        <v>2970</v>
      </c>
    </row>
    <row r="394" spans="1:9">
      <c r="A394" s="37" t="s">
        <v>2987</v>
      </c>
      <c r="B394" s="37" t="s">
        <v>401</v>
      </c>
      <c r="C394" s="74">
        <v>0</v>
      </c>
      <c r="D394" s="74">
        <v>0</v>
      </c>
      <c r="E394" s="74">
        <v>360</v>
      </c>
      <c r="F394" s="67" t="s">
        <v>230</v>
      </c>
      <c r="G394" s="67" t="s">
        <v>1052</v>
      </c>
      <c r="H394" s="37">
        <f t="shared" si="6"/>
        <v>391</v>
      </c>
      <c r="I394" s="37" t="s">
        <v>2970</v>
      </c>
    </row>
    <row r="395" spans="1:9">
      <c r="A395" s="37" t="s">
        <v>425</v>
      </c>
      <c r="B395" s="37" t="s">
        <v>402</v>
      </c>
      <c r="C395" s="74" t="s">
        <v>186</v>
      </c>
      <c r="D395" s="74" t="s">
        <v>186</v>
      </c>
      <c r="E395" s="74" t="s">
        <v>186</v>
      </c>
      <c r="F395" s="67" t="s">
        <v>230</v>
      </c>
      <c r="G395" s="67" t="s">
        <v>1052</v>
      </c>
      <c r="H395" s="37">
        <f t="shared" si="6"/>
        <v>392</v>
      </c>
      <c r="I395" s="37"/>
    </row>
    <row r="396" spans="1:9">
      <c r="A396" s="37" t="s">
        <v>3123</v>
      </c>
      <c r="B396" s="37" t="s">
        <v>3130</v>
      </c>
      <c r="C396" s="74" t="s">
        <v>186</v>
      </c>
      <c r="D396" s="74" t="s">
        <v>186</v>
      </c>
      <c r="E396" s="74" t="s">
        <v>186</v>
      </c>
      <c r="F396" s="67" t="s">
        <v>230</v>
      </c>
      <c r="G396" s="67" t="s">
        <v>1052</v>
      </c>
      <c r="H396" s="37">
        <f t="shared" si="6"/>
        <v>393</v>
      </c>
      <c r="I396" s="37" t="s">
        <v>3131</v>
      </c>
    </row>
    <row r="397" spans="1:9">
      <c r="A397" s="37" t="s">
        <v>3124</v>
      </c>
      <c r="B397" s="37" t="s">
        <v>3129</v>
      </c>
      <c r="C397" s="74" t="s">
        <v>186</v>
      </c>
      <c r="D397" s="74" t="s">
        <v>186</v>
      </c>
      <c r="E397" s="74" t="s">
        <v>186</v>
      </c>
      <c r="F397" s="67" t="s">
        <v>230</v>
      </c>
      <c r="G397" s="67" t="s">
        <v>1052</v>
      </c>
      <c r="H397" s="37">
        <f t="shared" si="6"/>
        <v>394</v>
      </c>
      <c r="I397" s="37" t="s">
        <v>3131</v>
      </c>
    </row>
    <row r="398" spans="1:9">
      <c r="A398" s="37" t="s">
        <v>3125</v>
      </c>
      <c r="B398" s="37" t="s">
        <v>3128</v>
      </c>
      <c r="C398" s="74" t="s">
        <v>186</v>
      </c>
      <c r="D398" s="74" t="s">
        <v>186</v>
      </c>
      <c r="E398" s="74" t="s">
        <v>186</v>
      </c>
      <c r="F398" s="67" t="s">
        <v>230</v>
      </c>
      <c r="G398" s="67" t="s">
        <v>1052</v>
      </c>
      <c r="H398" s="37">
        <f t="shared" si="6"/>
        <v>395</v>
      </c>
      <c r="I398" s="37" t="s">
        <v>3131</v>
      </c>
    </row>
    <row r="399" spans="1:9">
      <c r="A399" s="37" t="s">
        <v>3126</v>
      </c>
      <c r="B399" s="37" t="s">
        <v>3127</v>
      </c>
      <c r="C399" s="74" t="s">
        <v>186</v>
      </c>
      <c r="D399" s="74" t="s">
        <v>186</v>
      </c>
      <c r="E399" s="74" t="s">
        <v>186</v>
      </c>
      <c r="F399" s="67" t="s">
        <v>230</v>
      </c>
      <c r="G399" s="67" t="s">
        <v>1052</v>
      </c>
      <c r="H399" s="37">
        <f t="shared" si="6"/>
        <v>396</v>
      </c>
      <c r="I399" s="37" t="s">
        <v>3131</v>
      </c>
    </row>
    <row r="400" spans="1:9">
      <c r="A400" s="37" t="s">
        <v>426</v>
      </c>
      <c r="B400" s="37" t="s">
        <v>449</v>
      </c>
      <c r="C400" s="74">
        <v>0</v>
      </c>
      <c r="D400" s="74" t="s">
        <v>195</v>
      </c>
      <c r="E400" s="74" t="s">
        <v>228</v>
      </c>
      <c r="F400" s="67" t="s">
        <v>230</v>
      </c>
      <c r="G400" s="67" t="s">
        <v>1052</v>
      </c>
      <c r="H400" s="37">
        <f t="shared" si="6"/>
        <v>397</v>
      </c>
      <c r="I400" s="37"/>
    </row>
    <row r="401" spans="1:9">
      <c r="A401" s="37" t="s">
        <v>427</v>
      </c>
      <c r="B401" s="37" t="s">
        <v>450</v>
      </c>
      <c r="C401" s="74">
        <v>8</v>
      </c>
      <c r="D401" s="74">
        <v>5</v>
      </c>
      <c r="E401" s="74">
        <v>32</v>
      </c>
      <c r="F401" s="67" t="s">
        <v>230</v>
      </c>
      <c r="G401" s="67" t="s">
        <v>1052</v>
      </c>
      <c r="H401" s="37">
        <f t="shared" si="6"/>
        <v>398</v>
      </c>
      <c r="I401" s="37"/>
    </row>
    <row r="402" spans="1:9">
      <c r="A402" s="37" t="s">
        <v>428</v>
      </c>
      <c r="B402" s="37" t="s">
        <v>451</v>
      </c>
      <c r="C402" s="74">
        <v>7</v>
      </c>
      <c r="D402" s="74">
        <v>4</v>
      </c>
      <c r="E402" s="74">
        <v>32</v>
      </c>
      <c r="F402" s="67" t="s">
        <v>230</v>
      </c>
      <c r="G402" s="67" t="s">
        <v>1052</v>
      </c>
      <c r="H402" s="37">
        <f t="shared" si="6"/>
        <v>399</v>
      </c>
      <c r="I402" s="37"/>
    </row>
    <row r="403" spans="1:9">
      <c r="A403" s="37" t="s">
        <v>429</v>
      </c>
      <c r="B403" s="37" t="s">
        <v>452</v>
      </c>
      <c r="C403" s="74">
        <v>0</v>
      </c>
      <c r="D403" s="74">
        <v>0</v>
      </c>
      <c r="E403" s="74">
        <v>63</v>
      </c>
      <c r="F403" s="67" t="s">
        <v>230</v>
      </c>
      <c r="G403" s="67" t="s">
        <v>1052</v>
      </c>
      <c r="H403" s="37">
        <f t="shared" si="6"/>
        <v>400</v>
      </c>
      <c r="I403" s="37"/>
    </row>
    <row r="404" spans="1:9">
      <c r="A404" s="37" t="s">
        <v>430</v>
      </c>
      <c r="B404" s="37" t="s">
        <v>453</v>
      </c>
      <c r="C404" s="74">
        <v>2</v>
      </c>
      <c r="D404" s="74">
        <v>0</v>
      </c>
      <c r="E404" s="74">
        <v>2</v>
      </c>
      <c r="F404" s="67" t="s">
        <v>230</v>
      </c>
      <c r="G404" s="67" t="s">
        <v>1052</v>
      </c>
      <c r="H404" s="37">
        <f t="shared" si="6"/>
        <v>401</v>
      </c>
      <c r="I404" s="37"/>
    </row>
    <row r="405" spans="1:9">
      <c r="A405" s="37" t="s">
        <v>431</v>
      </c>
      <c r="B405" s="37" t="s">
        <v>454</v>
      </c>
      <c r="C405" s="74">
        <v>1</v>
      </c>
      <c r="D405" s="74">
        <v>1</v>
      </c>
      <c r="E405" s="74">
        <v>125</v>
      </c>
      <c r="F405" s="67" t="s">
        <v>230</v>
      </c>
      <c r="G405" s="67" t="s">
        <v>1052</v>
      </c>
      <c r="H405" s="37">
        <f t="shared" si="6"/>
        <v>402</v>
      </c>
      <c r="I405" s="37"/>
    </row>
    <row r="406" spans="1:9">
      <c r="A406" s="37" t="s">
        <v>432</v>
      </c>
      <c r="B406" s="37" t="s">
        <v>455</v>
      </c>
      <c r="C406" s="74">
        <v>0</v>
      </c>
      <c r="D406" s="74">
        <v>0</v>
      </c>
      <c r="E406" s="74">
        <v>4</v>
      </c>
      <c r="F406" s="67" t="s">
        <v>230</v>
      </c>
      <c r="G406" s="67" t="s">
        <v>1052</v>
      </c>
      <c r="H406" s="37">
        <f t="shared" si="6"/>
        <v>403</v>
      </c>
      <c r="I406" s="37"/>
    </row>
    <row r="407" spans="1:9">
      <c r="A407" s="37" t="s">
        <v>433</v>
      </c>
      <c r="B407" s="37" t="s">
        <v>456</v>
      </c>
      <c r="C407" s="74">
        <v>0</v>
      </c>
      <c r="D407" s="74">
        <v>0</v>
      </c>
      <c r="E407" s="74">
        <v>4</v>
      </c>
      <c r="F407" s="67" t="s">
        <v>230</v>
      </c>
      <c r="G407" s="67" t="s">
        <v>1052</v>
      </c>
      <c r="H407" s="37">
        <f t="shared" si="6"/>
        <v>404</v>
      </c>
      <c r="I407" s="37"/>
    </row>
    <row r="408" spans="1:9">
      <c r="A408" s="37" t="s">
        <v>434</v>
      </c>
      <c r="B408" s="37" t="s">
        <v>457</v>
      </c>
      <c r="C408" s="74">
        <v>4</v>
      </c>
      <c r="D408" s="74">
        <v>0</v>
      </c>
      <c r="E408" s="74">
        <v>4</v>
      </c>
      <c r="F408" s="67" t="s">
        <v>230</v>
      </c>
      <c r="G408" s="67" t="s">
        <v>1052</v>
      </c>
      <c r="H408" s="37">
        <f t="shared" si="6"/>
        <v>405</v>
      </c>
      <c r="I408" s="37"/>
    </row>
    <row r="409" spans="1:9">
      <c r="A409" s="37" t="s">
        <v>435</v>
      </c>
      <c r="B409" s="37" t="s">
        <v>458</v>
      </c>
      <c r="C409" s="74">
        <v>1</v>
      </c>
      <c r="D409" s="74">
        <v>1</v>
      </c>
      <c r="E409" s="74">
        <v>63</v>
      </c>
      <c r="F409" s="67" t="s">
        <v>230</v>
      </c>
      <c r="G409" s="67" t="s">
        <v>1052</v>
      </c>
      <c r="H409" s="37">
        <f t="shared" si="6"/>
        <v>406</v>
      </c>
      <c r="I409" s="37"/>
    </row>
    <row r="410" spans="1:9">
      <c r="A410" s="37" t="s">
        <v>436</v>
      </c>
      <c r="B410" s="37" t="s">
        <v>459</v>
      </c>
      <c r="C410" s="74">
        <v>4</v>
      </c>
      <c r="D410" s="74">
        <v>1</v>
      </c>
      <c r="E410" s="74">
        <v>4</v>
      </c>
      <c r="F410" s="67" t="s">
        <v>230</v>
      </c>
      <c r="G410" s="67" t="s">
        <v>1052</v>
      </c>
      <c r="H410" s="37">
        <f t="shared" si="6"/>
        <v>407</v>
      </c>
      <c r="I410" s="37"/>
    </row>
    <row r="411" spans="1:9">
      <c r="A411" s="37" t="s">
        <v>437</v>
      </c>
      <c r="B411" s="37" t="s">
        <v>460</v>
      </c>
      <c r="C411" s="74">
        <v>1</v>
      </c>
      <c r="D411" s="74">
        <v>1</v>
      </c>
      <c r="E411" s="74">
        <v>2</v>
      </c>
      <c r="F411" s="67" t="s">
        <v>230</v>
      </c>
      <c r="G411" s="67" t="s">
        <v>1052</v>
      </c>
      <c r="H411" s="37">
        <f t="shared" si="6"/>
        <v>408</v>
      </c>
      <c r="I411" s="37"/>
    </row>
    <row r="412" spans="1:9">
      <c r="A412" s="37" t="s">
        <v>438</v>
      </c>
      <c r="B412" s="37" t="s">
        <v>461</v>
      </c>
      <c r="C412" s="74">
        <v>0</v>
      </c>
      <c r="D412" s="74">
        <v>0</v>
      </c>
      <c r="E412" s="74">
        <v>3</v>
      </c>
      <c r="F412" s="67" t="s">
        <v>230</v>
      </c>
      <c r="G412" s="67" t="s">
        <v>1052</v>
      </c>
      <c r="H412" s="37">
        <f t="shared" si="6"/>
        <v>409</v>
      </c>
      <c r="I412" s="37"/>
    </row>
    <row r="413" spans="1:9">
      <c r="A413" s="37" t="s">
        <v>439</v>
      </c>
      <c r="B413" s="37" t="s">
        <v>462</v>
      </c>
      <c r="C413" s="74" t="s">
        <v>863</v>
      </c>
      <c r="D413" s="74" t="s">
        <v>195</v>
      </c>
      <c r="E413" s="74" t="s">
        <v>228</v>
      </c>
      <c r="F413" s="67" t="s">
        <v>230</v>
      </c>
      <c r="G413" s="67" t="s">
        <v>1052</v>
      </c>
      <c r="H413" s="37">
        <f t="shared" si="6"/>
        <v>410</v>
      </c>
      <c r="I413" s="37"/>
    </row>
    <row r="414" spans="1:9">
      <c r="A414" s="37" t="s">
        <v>440</v>
      </c>
      <c r="B414" s="37" t="s">
        <v>463</v>
      </c>
      <c r="C414" s="74" t="s">
        <v>196</v>
      </c>
      <c r="D414" s="74" t="s">
        <v>195</v>
      </c>
      <c r="E414" s="74" t="s">
        <v>228</v>
      </c>
      <c r="F414" s="67" t="s">
        <v>230</v>
      </c>
      <c r="G414" s="67" t="s">
        <v>1052</v>
      </c>
      <c r="H414" s="37">
        <f t="shared" si="6"/>
        <v>411</v>
      </c>
      <c r="I414" s="37"/>
    </row>
    <row r="415" spans="1:9">
      <c r="A415" s="37" t="s">
        <v>441</v>
      </c>
      <c r="B415" s="37" t="s">
        <v>464</v>
      </c>
      <c r="C415" s="74" t="s">
        <v>864</v>
      </c>
      <c r="D415" s="74" t="s">
        <v>195</v>
      </c>
      <c r="E415" s="74" t="s">
        <v>228</v>
      </c>
      <c r="F415" s="67" t="s">
        <v>230</v>
      </c>
      <c r="G415" s="67" t="s">
        <v>1052</v>
      </c>
      <c r="H415" s="37">
        <f t="shared" si="6"/>
        <v>412</v>
      </c>
      <c r="I415" s="37"/>
    </row>
    <row r="416" spans="1:9">
      <c r="A416" s="37" t="s">
        <v>897</v>
      </c>
      <c r="B416" s="37" t="s">
        <v>898</v>
      </c>
      <c r="C416" s="74">
        <v>0</v>
      </c>
      <c r="D416" s="74">
        <v>0</v>
      </c>
      <c r="E416" s="74">
        <v>1</v>
      </c>
      <c r="F416" s="67" t="s">
        <v>230</v>
      </c>
      <c r="G416" s="67" t="s">
        <v>1052</v>
      </c>
      <c r="H416" s="37">
        <f t="shared" si="6"/>
        <v>413</v>
      </c>
      <c r="I416" s="37"/>
    </row>
    <row r="417" spans="1:9">
      <c r="A417" s="37" t="s">
        <v>442</v>
      </c>
      <c r="B417" s="37" t="s">
        <v>465</v>
      </c>
      <c r="C417" s="74">
        <v>1</v>
      </c>
      <c r="D417" s="74">
        <v>1</v>
      </c>
      <c r="E417" s="74">
        <v>5</v>
      </c>
      <c r="F417" s="67" t="s">
        <v>230</v>
      </c>
      <c r="G417" s="67" t="s">
        <v>1052</v>
      </c>
      <c r="H417" s="37">
        <f t="shared" si="6"/>
        <v>414</v>
      </c>
      <c r="I417" s="37"/>
    </row>
    <row r="418" spans="1:9">
      <c r="A418" s="37" t="s">
        <v>443</v>
      </c>
      <c r="B418" s="37" t="s">
        <v>466</v>
      </c>
      <c r="C418" s="74">
        <v>32</v>
      </c>
      <c r="D418" s="80">
        <v>0</v>
      </c>
      <c r="E418" s="74">
        <v>504</v>
      </c>
      <c r="F418" s="67" t="s">
        <v>230</v>
      </c>
      <c r="G418" s="67" t="s">
        <v>1052</v>
      </c>
      <c r="H418" s="37">
        <f t="shared" si="6"/>
        <v>415</v>
      </c>
      <c r="I418" s="37" t="s">
        <v>2962</v>
      </c>
    </row>
    <row r="419" spans="1:9">
      <c r="A419" s="37" t="s">
        <v>444</v>
      </c>
      <c r="B419" s="37" t="s">
        <v>467</v>
      </c>
      <c r="C419" s="74">
        <v>32</v>
      </c>
      <c r="D419" s="80">
        <v>0</v>
      </c>
      <c r="E419" s="74">
        <v>504</v>
      </c>
      <c r="F419" s="67" t="s">
        <v>230</v>
      </c>
      <c r="G419" s="67" t="s">
        <v>1052</v>
      </c>
      <c r="H419" s="37">
        <f t="shared" si="6"/>
        <v>416</v>
      </c>
      <c r="I419" s="37" t="s">
        <v>2962</v>
      </c>
    </row>
    <row r="420" spans="1:9">
      <c r="A420" s="37" t="s">
        <v>899</v>
      </c>
      <c r="B420" s="37" t="s">
        <v>900</v>
      </c>
      <c r="C420" s="74">
        <v>0</v>
      </c>
      <c r="D420" s="74">
        <v>0</v>
      </c>
      <c r="E420" s="74">
        <v>1</v>
      </c>
      <c r="F420" s="67" t="s">
        <v>230</v>
      </c>
      <c r="G420" s="67" t="s">
        <v>1052</v>
      </c>
      <c r="H420" s="37">
        <f t="shared" si="6"/>
        <v>417</v>
      </c>
      <c r="I420" s="37"/>
    </row>
    <row r="421" spans="1:9">
      <c r="A421" s="37" t="s">
        <v>901</v>
      </c>
      <c r="B421" s="37" t="s">
        <v>902</v>
      </c>
      <c r="C421" s="74">
        <v>0</v>
      </c>
      <c r="D421" s="74">
        <v>0</v>
      </c>
      <c r="E421" s="74">
        <v>1</v>
      </c>
      <c r="F421" s="67" t="s">
        <v>230</v>
      </c>
      <c r="G421" s="67" t="s">
        <v>1052</v>
      </c>
      <c r="H421" s="37">
        <f t="shared" si="6"/>
        <v>418</v>
      </c>
      <c r="I421" s="37"/>
    </row>
    <row r="422" spans="1:9">
      <c r="A422" s="37" t="s">
        <v>903</v>
      </c>
      <c r="B422" s="37" t="s">
        <v>904</v>
      </c>
      <c r="C422" s="74">
        <v>0</v>
      </c>
      <c r="D422" s="74">
        <v>0</v>
      </c>
      <c r="E422" s="74">
        <v>1</v>
      </c>
      <c r="F422" s="67" t="s">
        <v>230</v>
      </c>
      <c r="G422" s="67" t="s">
        <v>1052</v>
      </c>
      <c r="H422" s="37">
        <f t="shared" si="6"/>
        <v>419</v>
      </c>
      <c r="I422" s="37"/>
    </row>
    <row r="423" spans="1:9">
      <c r="A423" s="37" t="s">
        <v>445</v>
      </c>
      <c r="B423" s="37" t="s">
        <v>468</v>
      </c>
      <c r="C423" s="74">
        <v>32</v>
      </c>
      <c r="D423" s="74">
        <v>5</v>
      </c>
      <c r="E423" s="74">
        <v>256</v>
      </c>
      <c r="F423" s="67" t="s">
        <v>230</v>
      </c>
      <c r="G423" s="67" t="s">
        <v>1052</v>
      </c>
      <c r="H423" s="37">
        <f t="shared" si="6"/>
        <v>420</v>
      </c>
      <c r="I423" s="37"/>
    </row>
    <row r="424" spans="1:9">
      <c r="A424" s="37" t="s">
        <v>446</v>
      </c>
      <c r="B424" s="37" t="s">
        <v>469</v>
      </c>
      <c r="C424" s="74">
        <v>32</v>
      </c>
      <c r="D424" s="74">
        <v>4</v>
      </c>
      <c r="E424" s="74">
        <v>256</v>
      </c>
      <c r="F424" s="67" t="s">
        <v>230</v>
      </c>
      <c r="G424" s="67" t="s">
        <v>1052</v>
      </c>
      <c r="H424" s="37">
        <f t="shared" si="6"/>
        <v>421</v>
      </c>
      <c r="I424" s="37"/>
    </row>
    <row r="425" spans="1:9">
      <c r="A425" s="37" t="s">
        <v>447</v>
      </c>
      <c r="B425" s="37" t="s">
        <v>470</v>
      </c>
      <c r="C425" s="74">
        <v>0</v>
      </c>
      <c r="D425" s="74">
        <v>0</v>
      </c>
      <c r="E425" s="74">
        <v>65535</v>
      </c>
      <c r="F425" s="67" t="s">
        <v>230</v>
      </c>
      <c r="G425" s="67" t="s">
        <v>1052</v>
      </c>
      <c r="H425" s="37">
        <f t="shared" si="6"/>
        <v>422</v>
      </c>
      <c r="I425" s="37"/>
    </row>
    <row r="426" spans="1:9">
      <c r="A426" s="37" t="s">
        <v>1004</v>
      </c>
      <c r="B426" s="37" t="s">
        <v>1005</v>
      </c>
      <c r="C426" s="74">
        <v>1</v>
      </c>
      <c r="D426" s="74">
        <v>0</v>
      </c>
      <c r="E426" s="74">
        <v>2147483647</v>
      </c>
      <c r="F426" s="67" t="s">
        <v>230</v>
      </c>
      <c r="G426" s="67" t="s">
        <v>1052</v>
      </c>
      <c r="H426" s="37">
        <f t="shared" si="6"/>
        <v>423</v>
      </c>
      <c r="I426" s="37"/>
    </row>
    <row r="427" spans="1:9">
      <c r="A427" s="37" t="s">
        <v>905</v>
      </c>
      <c r="B427" s="37" t="s">
        <v>906</v>
      </c>
      <c r="C427" s="74" t="s">
        <v>892</v>
      </c>
      <c r="D427" s="74" t="s">
        <v>195</v>
      </c>
      <c r="E427" s="74" t="s">
        <v>228</v>
      </c>
      <c r="F427" s="67" t="s">
        <v>230</v>
      </c>
      <c r="G427" s="67" t="s">
        <v>1052</v>
      </c>
      <c r="H427" s="37">
        <f t="shared" si="6"/>
        <v>424</v>
      </c>
      <c r="I427" s="37"/>
    </row>
    <row r="428" spans="1:9">
      <c r="A428" s="37" t="s">
        <v>907</v>
      </c>
      <c r="B428" s="37" t="s">
        <v>908</v>
      </c>
      <c r="C428" s="74" t="s">
        <v>892</v>
      </c>
      <c r="D428" s="74" t="s">
        <v>195</v>
      </c>
      <c r="E428" s="74" t="s">
        <v>228</v>
      </c>
      <c r="F428" s="67" t="s">
        <v>230</v>
      </c>
      <c r="G428" s="67" t="s">
        <v>1052</v>
      </c>
      <c r="H428" s="37">
        <f t="shared" si="6"/>
        <v>425</v>
      </c>
      <c r="I428" s="37"/>
    </row>
    <row r="429" spans="1:9">
      <c r="A429" s="37" t="s">
        <v>909</v>
      </c>
      <c r="B429" s="37" t="s">
        <v>910</v>
      </c>
      <c r="C429" s="74" t="s">
        <v>892</v>
      </c>
      <c r="D429" s="74" t="s">
        <v>195</v>
      </c>
      <c r="E429" s="74" t="s">
        <v>228</v>
      </c>
      <c r="F429" s="67" t="s">
        <v>230</v>
      </c>
      <c r="G429" s="67" t="s">
        <v>1052</v>
      </c>
      <c r="H429" s="37">
        <f t="shared" si="6"/>
        <v>426</v>
      </c>
      <c r="I429" s="37"/>
    </row>
    <row r="430" spans="1:9">
      <c r="A430" s="37" t="s">
        <v>2988</v>
      </c>
      <c r="B430" s="37" t="s">
        <v>471</v>
      </c>
      <c r="C430" s="74">
        <v>32</v>
      </c>
      <c r="D430" s="74">
        <v>32</v>
      </c>
      <c r="E430" s="74">
        <v>360</v>
      </c>
      <c r="F430" s="67" t="s">
        <v>230</v>
      </c>
      <c r="G430" s="67" t="s">
        <v>1052</v>
      </c>
      <c r="H430" s="37">
        <f t="shared" si="6"/>
        <v>427</v>
      </c>
      <c r="I430" s="37" t="s">
        <v>2970</v>
      </c>
    </row>
    <row r="431" spans="1:9">
      <c r="A431" s="37" t="s">
        <v>2989</v>
      </c>
      <c r="B431" s="37" t="s">
        <v>472</v>
      </c>
      <c r="C431" s="74">
        <v>0</v>
      </c>
      <c r="D431" s="74">
        <v>0</v>
      </c>
      <c r="E431" s="74">
        <v>360</v>
      </c>
      <c r="F431" s="67" t="s">
        <v>230</v>
      </c>
      <c r="G431" s="67" t="s">
        <v>1052</v>
      </c>
      <c r="H431" s="37">
        <f t="shared" si="6"/>
        <v>428</v>
      </c>
      <c r="I431" s="37" t="s">
        <v>2970</v>
      </c>
    </row>
    <row r="432" spans="1:9">
      <c r="A432" s="37" t="s">
        <v>2990</v>
      </c>
      <c r="B432" s="37" t="s">
        <v>473</v>
      </c>
      <c r="C432" s="74">
        <v>0</v>
      </c>
      <c r="D432" s="74">
        <v>0</v>
      </c>
      <c r="E432" s="74">
        <v>360</v>
      </c>
      <c r="F432" s="67" t="s">
        <v>230</v>
      </c>
      <c r="G432" s="67" t="s">
        <v>1052</v>
      </c>
      <c r="H432" s="37">
        <f t="shared" si="6"/>
        <v>429</v>
      </c>
      <c r="I432" s="37" t="s">
        <v>2970</v>
      </c>
    </row>
    <row r="433" spans="1:9">
      <c r="A433" s="37" t="s">
        <v>2991</v>
      </c>
      <c r="B433" s="37" t="s">
        <v>474</v>
      </c>
      <c r="C433" s="74">
        <v>0</v>
      </c>
      <c r="D433" s="74">
        <v>0</v>
      </c>
      <c r="E433" s="74">
        <v>360</v>
      </c>
      <c r="F433" s="67" t="s">
        <v>230</v>
      </c>
      <c r="G433" s="67" t="s">
        <v>1052</v>
      </c>
      <c r="H433" s="37">
        <f t="shared" ref="H433:H496" si="7">ROW()-3</f>
        <v>430</v>
      </c>
      <c r="I433" s="37" t="s">
        <v>2970</v>
      </c>
    </row>
    <row r="434" spans="1:9">
      <c r="A434" s="37" t="s">
        <v>2992</v>
      </c>
      <c r="B434" s="37" t="s">
        <v>475</v>
      </c>
      <c r="C434" s="74">
        <v>32</v>
      </c>
      <c r="D434" s="74">
        <v>32</v>
      </c>
      <c r="E434" s="74">
        <v>360</v>
      </c>
      <c r="F434" s="67" t="s">
        <v>230</v>
      </c>
      <c r="G434" s="67" t="s">
        <v>1052</v>
      </c>
      <c r="H434" s="37">
        <f t="shared" si="7"/>
        <v>431</v>
      </c>
      <c r="I434" s="37" t="s">
        <v>2970</v>
      </c>
    </row>
    <row r="435" spans="1:9">
      <c r="A435" s="37" t="s">
        <v>2993</v>
      </c>
      <c r="B435" s="37" t="s">
        <v>476</v>
      </c>
      <c r="C435" s="74">
        <v>0</v>
      </c>
      <c r="D435" s="74">
        <v>0</v>
      </c>
      <c r="E435" s="74">
        <v>360</v>
      </c>
      <c r="F435" s="67" t="s">
        <v>230</v>
      </c>
      <c r="G435" s="67" t="s">
        <v>1052</v>
      </c>
      <c r="H435" s="37">
        <f t="shared" si="7"/>
        <v>432</v>
      </c>
      <c r="I435" s="37" t="s">
        <v>2970</v>
      </c>
    </row>
    <row r="436" spans="1:9">
      <c r="A436" s="37" t="s">
        <v>2994</v>
      </c>
      <c r="B436" s="37" t="s">
        <v>477</v>
      </c>
      <c r="C436" s="74">
        <v>0</v>
      </c>
      <c r="D436" s="74">
        <v>0</v>
      </c>
      <c r="E436" s="74">
        <v>360</v>
      </c>
      <c r="F436" s="67" t="s">
        <v>230</v>
      </c>
      <c r="G436" s="67" t="s">
        <v>1052</v>
      </c>
      <c r="H436" s="37">
        <f t="shared" si="7"/>
        <v>433</v>
      </c>
      <c r="I436" s="37" t="s">
        <v>2970</v>
      </c>
    </row>
    <row r="437" spans="1:9">
      <c r="A437" s="37" t="s">
        <v>2995</v>
      </c>
      <c r="B437" s="37" t="s">
        <v>478</v>
      </c>
      <c r="C437" s="74">
        <v>0</v>
      </c>
      <c r="D437" s="74">
        <v>0</v>
      </c>
      <c r="E437" s="74">
        <v>360</v>
      </c>
      <c r="F437" s="67" t="s">
        <v>230</v>
      </c>
      <c r="G437" s="67" t="s">
        <v>1052</v>
      </c>
      <c r="H437" s="37">
        <f t="shared" si="7"/>
        <v>434</v>
      </c>
      <c r="I437" s="37" t="s">
        <v>2970</v>
      </c>
    </row>
    <row r="438" spans="1:9">
      <c r="A438" s="37" t="s">
        <v>448</v>
      </c>
      <c r="B438" s="37" t="s">
        <v>479</v>
      </c>
      <c r="C438" s="74" t="s">
        <v>186</v>
      </c>
      <c r="D438" s="74" t="s">
        <v>186</v>
      </c>
      <c r="E438" s="74" t="s">
        <v>186</v>
      </c>
      <c r="F438" s="67" t="s">
        <v>230</v>
      </c>
      <c r="G438" s="67" t="s">
        <v>1052</v>
      </c>
      <c r="H438" s="37">
        <f t="shared" si="7"/>
        <v>435</v>
      </c>
      <c r="I438" s="37"/>
    </row>
    <row r="439" spans="1:9">
      <c r="A439" s="37" t="s">
        <v>3132</v>
      </c>
      <c r="B439" s="37" t="s">
        <v>3139</v>
      </c>
      <c r="C439" s="74" t="s">
        <v>186</v>
      </c>
      <c r="D439" s="74" t="s">
        <v>186</v>
      </c>
      <c r="E439" s="74" t="s">
        <v>186</v>
      </c>
      <c r="F439" s="67" t="s">
        <v>230</v>
      </c>
      <c r="G439" s="67" t="s">
        <v>1052</v>
      </c>
      <c r="H439" s="37">
        <f t="shared" si="7"/>
        <v>436</v>
      </c>
      <c r="I439" s="37" t="s">
        <v>3131</v>
      </c>
    </row>
    <row r="440" spans="1:9">
      <c r="A440" s="37" t="s">
        <v>3133</v>
      </c>
      <c r="B440" s="37" t="s">
        <v>3138</v>
      </c>
      <c r="C440" s="74" t="s">
        <v>186</v>
      </c>
      <c r="D440" s="74" t="s">
        <v>186</v>
      </c>
      <c r="E440" s="74" t="s">
        <v>186</v>
      </c>
      <c r="F440" s="67" t="s">
        <v>230</v>
      </c>
      <c r="G440" s="67" t="s">
        <v>1052</v>
      </c>
      <c r="H440" s="37">
        <f t="shared" si="7"/>
        <v>437</v>
      </c>
      <c r="I440" s="37" t="s">
        <v>3131</v>
      </c>
    </row>
    <row r="441" spans="1:9">
      <c r="A441" s="37" t="s">
        <v>3134</v>
      </c>
      <c r="B441" s="37" t="s">
        <v>3137</v>
      </c>
      <c r="C441" s="74" t="s">
        <v>186</v>
      </c>
      <c r="D441" s="74" t="s">
        <v>186</v>
      </c>
      <c r="E441" s="74" t="s">
        <v>186</v>
      </c>
      <c r="F441" s="67" t="s">
        <v>230</v>
      </c>
      <c r="G441" s="67" t="s">
        <v>1052</v>
      </c>
      <c r="H441" s="37">
        <f t="shared" si="7"/>
        <v>438</v>
      </c>
      <c r="I441" s="37" t="s">
        <v>3131</v>
      </c>
    </row>
    <row r="442" spans="1:9">
      <c r="A442" s="37" t="s">
        <v>3135</v>
      </c>
      <c r="B442" s="37" t="s">
        <v>3136</v>
      </c>
      <c r="C442" s="74" t="s">
        <v>186</v>
      </c>
      <c r="D442" s="74" t="s">
        <v>186</v>
      </c>
      <c r="E442" s="74" t="s">
        <v>186</v>
      </c>
      <c r="F442" s="67" t="s">
        <v>230</v>
      </c>
      <c r="G442" s="67" t="s">
        <v>1052</v>
      </c>
      <c r="H442" s="37">
        <f t="shared" si="7"/>
        <v>439</v>
      </c>
      <c r="I442" s="37" t="s">
        <v>3131</v>
      </c>
    </row>
    <row r="443" spans="1:9">
      <c r="A443" s="37" t="s">
        <v>511</v>
      </c>
      <c r="B443" s="37" t="s">
        <v>480</v>
      </c>
      <c r="C443" s="74">
        <v>0</v>
      </c>
      <c r="D443" s="74" t="s">
        <v>195</v>
      </c>
      <c r="E443" s="74" t="s">
        <v>228</v>
      </c>
      <c r="F443" s="67" t="s">
        <v>230</v>
      </c>
      <c r="G443" s="67" t="s">
        <v>1052</v>
      </c>
      <c r="H443" s="37">
        <f t="shared" si="7"/>
        <v>440</v>
      </c>
      <c r="I443" s="37"/>
    </row>
    <row r="444" spans="1:9">
      <c r="A444" s="37" t="s">
        <v>512</v>
      </c>
      <c r="B444" s="37" t="s">
        <v>481</v>
      </c>
      <c r="C444" s="74">
        <v>8</v>
      </c>
      <c r="D444" s="74">
        <v>5</v>
      </c>
      <c r="E444" s="74">
        <v>32</v>
      </c>
      <c r="F444" s="67" t="s">
        <v>230</v>
      </c>
      <c r="G444" s="67" t="s">
        <v>1052</v>
      </c>
      <c r="H444" s="37">
        <f t="shared" si="7"/>
        <v>441</v>
      </c>
      <c r="I444" s="37"/>
    </row>
    <row r="445" spans="1:9">
      <c r="A445" s="37" t="s">
        <v>513</v>
      </c>
      <c r="B445" s="37" t="s">
        <v>482</v>
      </c>
      <c r="C445" s="74">
        <v>7</v>
      </c>
      <c r="D445" s="74">
        <v>4</v>
      </c>
      <c r="E445" s="74">
        <v>32</v>
      </c>
      <c r="F445" s="67" t="s">
        <v>230</v>
      </c>
      <c r="G445" s="67" t="s">
        <v>1052</v>
      </c>
      <c r="H445" s="37">
        <f t="shared" si="7"/>
        <v>442</v>
      </c>
      <c r="I445" s="37"/>
    </row>
    <row r="446" spans="1:9">
      <c r="A446" s="37" t="s">
        <v>514</v>
      </c>
      <c r="B446" s="37" t="s">
        <v>483</v>
      </c>
      <c r="C446" s="74">
        <v>0</v>
      </c>
      <c r="D446" s="74">
        <v>0</v>
      </c>
      <c r="E446" s="74">
        <v>63</v>
      </c>
      <c r="F446" s="67" t="s">
        <v>230</v>
      </c>
      <c r="G446" s="67" t="s">
        <v>1052</v>
      </c>
      <c r="H446" s="37">
        <f t="shared" si="7"/>
        <v>443</v>
      </c>
      <c r="I446" s="37"/>
    </row>
    <row r="447" spans="1:9">
      <c r="A447" s="37" t="s">
        <v>515</v>
      </c>
      <c r="B447" s="37" t="s">
        <v>484</v>
      </c>
      <c r="C447" s="74">
        <v>2</v>
      </c>
      <c r="D447" s="74">
        <v>0</v>
      </c>
      <c r="E447" s="74">
        <v>2</v>
      </c>
      <c r="F447" s="67" t="s">
        <v>230</v>
      </c>
      <c r="G447" s="67" t="s">
        <v>1052</v>
      </c>
      <c r="H447" s="37">
        <f t="shared" si="7"/>
        <v>444</v>
      </c>
      <c r="I447" s="37"/>
    </row>
    <row r="448" spans="1:9">
      <c r="A448" s="37" t="s">
        <v>516</v>
      </c>
      <c r="B448" s="37" t="s">
        <v>485</v>
      </c>
      <c r="C448" s="74">
        <v>1</v>
      </c>
      <c r="D448" s="74">
        <v>1</v>
      </c>
      <c r="E448" s="74">
        <v>125</v>
      </c>
      <c r="F448" s="67" t="s">
        <v>230</v>
      </c>
      <c r="G448" s="67" t="s">
        <v>1052</v>
      </c>
      <c r="H448" s="37">
        <f t="shared" si="7"/>
        <v>445</v>
      </c>
      <c r="I448" s="37"/>
    </row>
    <row r="449" spans="1:9">
      <c r="A449" s="37" t="s">
        <v>517</v>
      </c>
      <c r="B449" s="37" t="s">
        <v>486</v>
      </c>
      <c r="C449" s="74">
        <v>0</v>
      </c>
      <c r="D449" s="74">
        <v>0</v>
      </c>
      <c r="E449" s="74">
        <v>4</v>
      </c>
      <c r="F449" s="67" t="s">
        <v>230</v>
      </c>
      <c r="G449" s="67" t="s">
        <v>1052</v>
      </c>
      <c r="H449" s="37">
        <f t="shared" si="7"/>
        <v>446</v>
      </c>
      <c r="I449" s="37"/>
    </row>
    <row r="450" spans="1:9">
      <c r="A450" s="37" t="s">
        <v>518</v>
      </c>
      <c r="B450" s="37" t="s">
        <v>487</v>
      </c>
      <c r="C450" s="74">
        <v>0</v>
      </c>
      <c r="D450" s="74">
        <v>0</v>
      </c>
      <c r="E450" s="74">
        <v>4</v>
      </c>
      <c r="F450" s="67" t="s">
        <v>230</v>
      </c>
      <c r="G450" s="67" t="s">
        <v>1052</v>
      </c>
      <c r="H450" s="37">
        <f t="shared" si="7"/>
        <v>447</v>
      </c>
      <c r="I450" s="37"/>
    </row>
    <row r="451" spans="1:9">
      <c r="A451" s="37" t="s">
        <v>519</v>
      </c>
      <c r="B451" s="37" t="s">
        <v>488</v>
      </c>
      <c r="C451" s="74">
        <v>4</v>
      </c>
      <c r="D451" s="74">
        <v>0</v>
      </c>
      <c r="E451" s="74">
        <v>4</v>
      </c>
      <c r="F451" s="67" t="s">
        <v>230</v>
      </c>
      <c r="G451" s="67" t="s">
        <v>1052</v>
      </c>
      <c r="H451" s="37">
        <f t="shared" si="7"/>
        <v>448</v>
      </c>
      <c r="I451" s="37"/>
    </row>
    <row r="452" spans="1:9">
      <c r="A452" s="37" t="s">
        <v>520</v>
      </c>
      <c r="B452" s="37" t="s">
        <v>489</v>
      </c>
      <c r="C452" s="74">
        <v>1</v>
      </c>
      <c r="D452" s="74">
        <v>1</v>
      </c>
      <c r="E452" s="74">
        <v>63</v>
      </c>
      <c r="F452" s="67" t="s">
        <v>230</v>
      </c>
      <c r="G452" s="67" t="s">
        <v>1052</v>
      </c>
      <c r="H452" s="37">
        <f t="shared" si="7"/>
        <v>449</v>
      </c>
      <c r="I452" s="37"/>
    </row>
    <row r="453" spans="1:9">
      <c r="A453" s="37" t="s">
        <v>521</v>
      </c>
      <c r="B453" s="37" t="s">
        <v>490</v>
      </c>
      <c r="C453" s="74">
        <v>4</v>
      </c>
      <c r="D453" s="74">
        <v>1</v>
      </c>
      <c r="E453" s="74">
        <v>4</v>
      </c>
      <c r="F453" s="67" t="s">
        <v>230</v>
      </c>
      <c r="G453" s="67" t="s">
        <v>1052</v>
      </c>
      <c r="H453" s="37">
        <f t="shared" si="7"/>
        <v>450</v>
      </c>
      <c r="I453" s="37"/>
    </row>
    <row r="454" spans="1:9">
      <c r="A454" s="37" t="s">
        <v>522</v>
      </c>
      <c r="B454" s="37" t="s">
        <v>491</v>
      </c>
      <c r="C454" s="74">
        <v>1</v>
      </c>
      <c r="D454" s="74">
        <v>1</v>
      </c>
      <c r="E454" s="74">
        <v>2</v>
      </c>
      <c r="F454" s="67" t="s">
        <v>230</v>
      </c>
      <c r="G454" s="67" t="s">
        <v>1052</v>
      </c>
      <c r="H454" s="37">
        <f t="shared" si="7"/>
        <v>451</v>
      </c>
      <c r="I454" s="37"/>
    </row>
    <row r="455" spans="1:9">
      <c r="A455" s="37" t="s">
        <v>523</v>
      </c>
      <c r="B455" s="37" t="s">
        <v>492</v>
      </c>
      <c r="C455" s="74">
        <v>0</v>
      </c>
      <c r="D455" s="74">
        <v>0</v>
      </c>
      <c r="E455" s="74">
        <v>3</v>
      </c>
      <c r="F455" s="67" t="s">
        <v>230</v>
      </c>
      <c r="G455" s="67" t="s">
        <v>1052</v>
      </c>
      <c r="H455" s="37">
        <f t="shared" si="7"/>
        <v>452</v>
      </c>
      <c r="I455" s="37"/>
    </row>
    <row r="456" spans="1:9">
      <c r="A456" s="37" t="s">
        <v>524</v>
      </c>
      <c r="B456" s="37" t="s">
        <v>493</v>
      </c>
      <c r="C456" s="74" t="s">
        <v>863</v>
      </c>
      <c r="D456" s="74" t="s">
        <v>195</v>
      </c>
      <c r="E456" s="74" t="s">
        <v>228</v>
      </c>
      <c r="F456" s="67" t="s">
        <v>230</v>
      </c>
      <c r="G456" s="67" t="s">
        <v>1052</v>
      </c>
      <c r="H456" s="37">
        <f t="shared" si="7"/>
        <v>453</v>
      </c>
      <c r="I456" s="37"/>
    </row>
    <row r="457" spans="1:9">
      <c r="A457" s="37" t="s">
        <v>525</v>
      </c>
      <c r="B457" s="37" t="s">
        <v>494</v>
      </c>
      <c r="C457" s="74" t="s">
        <v>196</v>
      </c>
      <c r="D457" s="74" t="s">
        <v>195</v>
      </c>
      <c r="E457" s="74" t="s">
        <v>228</v>
      </c>
      <c r="F457" s="67" t="s">
        <v>230</v>
      </c>
      <c r="G457" s="67" t="s">
        <v>1052</v>
      </c>
      <c r="H457" s="37">
        <f t="shared" si="7"/>
        <v>454</v>
      </c>
      <c r="I457" s="37"/>
    </row>
    <row r="458" spans="1:9">
      <c r="A458" s="37" t="s">
        <v>526</v>
      </c>
      <c r="B458" s="37" t="s">
        <v>495</v>
      </c>
      <c r="C458" s="74" t="s">
        <v>864</v>
      </c>
      <c r="D458" s="74" t="s">
        <v>195</v>
      </c>
      <c r="E458" s="74" t="s">
        <v>228</v>
      </c>
      <c r="F458" s="67" t="s">
        <v>230</v>
      </c>
      <c r="G458" s="67" t="s">
        <v>1052</v>
      </c>
      <c r="H458" s="37">
        <f t="shared" si="7"/>
        <v>455</v>
      </c>
      <c r="I458" s="37"/>
    </row>
    <row r="459" spans="1:9">
      <c r="A459" s="37" t="s">
        <v>911</v>
      </c>
      <c r="B459" s="37" t="s">
        <v>912</v>
      </c>
      <c r="C459" s="74">
        <v>0</v>
      </c>
      <c r="D459" s="74">
        <v>0</v>
      </c>
      <c r="E459" s="74">
        <v>1</v>
      </c>
      <c r="F459" s="67" t="s">
        <v>230</v>
      </c>
      <c r="G459" s="67" t="s">
        <v>1052</v>
      </c>
      <c r="H459" s="37">
        <f t="shared" si="7"/>
        <v>456</v>
      </c>
      <c r="I459" s="37"/>
    </row>
    <row r="460" spans="1:9">
      <c r="A460" s="37" t="s">
        <v>527</v>
      </c>
      <c r="B460" s="37" t="s">
        <v>496</v>
      </c>
      <c r="C460" s="74">
        <v>1</v>
      </c>
      <c r="D460" s="74">
        <v>1</v>
      </c>
      <c r="E460" s="74">
        <v>5</v>
      </c>
      <c r="F460" s="67" t="s">
        <v>230</v>
      </c>
      <c r="G460" s="67" t="s">
        <v>1052</v>
      </c>
      <c r="H460" s="37">
        <f t="shared" si="7"/>
        <v>457</v>
      </c>
      <c r="I460" s="37"/>
    </row>
    <row r="461" spans="1:9">
      <c r="A461" s="37" t="s">
        <v>528</v>
      </c>
      <c r="B461" s="37" t="s">
        <v>497</v>
      </c>
      <c r="C461" s="74">
        <v>32</v>
      </c>
      <c r="D461" s="80">
        <v>0</v>
      </c>
      <c r="E461" s="74">
        <v>504</v>
      </c>
      <c r="F461" s="67" t="s">
        <v>230</v>
      </c>
      <c r="G461" s="67" t="s">
        <v>1052</v>
      </c>
      <c r="H461" s="37">
        <f t="shared" si="7"/>
        <v>458</v>
      </c>
      <c r="I461" s="37" t="s">
        <v>2962</v>
      </c>
    </row>
    <row r="462" spans="1:9">
      <c r="A462" s="37" t="s">
        <v>529</v>
      </c>
      <c r="B462" s="37" t="s">
        <v>498</v>
      </c>
      <c r="C462" s="74">
        <v>32</v>
      </c>
      <c r="D462" s="80">
        <v>0</v>
      </c>
      <c r="E462" s="74">
        <v>504</v>
      </c>
      <c r="F462" s="67" t="s">
        <v>230</v>
      </c>
      <c r="G462" s="67" t="s">
        <v>1052</v>
      </c>
      <c r="H462" s="37">
        <f t="shared" si="7"/>
        <v>459</v>
      </c>
      <c r="I462" s="37" t="s">
        <v>2962</v>
      </c>
    </row>
    <row r="463" spans="1:9">
      <c r="A463" s="37" t="s">
        <v>913</v>
      </c>
      <c r="B463" s="37" t="s">
        <v>914</v>
      </c>
      <c r="C463" s="74">
        <v>0</v>
      </c>
      <c r="D463" s="74">
        <v>0</v>
      </c>
      <c r="E463" s="74">
        <v>1</v>
      </c>
      <c r="F463" s="67" t="s">
        <v>230</v>
      </c>
      <c r="G463" s="67" t="s">
        <v>1052</v>
      </c>
      <c r="H463" s="37">
        <f t="shared" si="7"/>
        <v>460</v>
      </c>
      <c r="I463" s="37"/>
    </row>
    <row r="464" spans="1:9">
      <c r="A464" s="37" t="s">
        <v>915</v>
      </c>
      <c r="B464" s="37" t="s">
        <v>916</v>
      </c>
      <c r="C464" s="74">
        <v>0</v>
      </c>
      <c r="D464" s="74">
        <v>0</v>
      </c>
      <c r="E464" s="74">
        <v>1</v>
      </c>
      <c r="F464" s="67" t="s">
        <v>230</v>
      </c>
      <c r="G464" s="67" t="s">
        <v>1052</v>
      </c>
      <c r="H464" s="37">
        <f t="shared" si="7"/>
        <v>461</v>
      </c>
      <c r="I464" s="37"/>
    </row>
    <row r="465" spans="1:9">
      <c r="A465" s="37" t="s">
        <v>917</v>
      </c>
      <c r="B465" s="37" t="s">
        <v>918</v>
      </c>
      <c r="C465" s="74">
        <v>0</v>
      </c>
      <c r="D465" s="74">
        <v>0</v>
      </c>
      <c r="E465" s="74">
        <v>1</v>
      </c>
      <c r="F465" s="67" t="s">
        <v>230</v>
      </c>
      <c r="G465" s="67" t="s">
        <v>1052</v>
      </c>
      <c r="H465" s="37">
        <f t="shared" si="7"/>
        <v>462</v>
      </c>
      <c r="I465" s="37"/>
    </row>
    <row r="466" spans="1:9">
      <c r="A466" s="37" t="s">
        <v>530</v>
      </c>
      <c r="B466" s="37" t="s">
        <v>499</v>
      </c>
      <c r="C466" s="74">
        <v>32</v>
      </c>
      <c r="D466" s="74">
        <v>5</v>
      </c>
      <c r="E466" s="74">
        <v>256</v>
      </c>
      <c r="F466" s="67" t="s">
        <v>230</v>
      </c>
      <c r="G466" s="67" t="s">
        <v>1052</v>
      </c>
      <c r="H466" s="37">
        <f t="shared" si="7"/>
        <v>463</v>
      </c>
      <c r="I466" s="37"/>
    </row>
    <row r="467" spans="1:9">
      <c r="A467" s="37" t="s">
        <v>531</v>
      </c>
      <c r="B467" s="37" t="s">
        <v>500</v>
      </c>
      <c r="C467" s="74">
        <v>32</v>
      </c>
      <c r="D467" s="74">
        <v>4</v>
      </c>
      <c r="E467" s="74">
        <v>256</v>
      </c>
      <c r="F467" s="67" t="s">
        <v>230</v>
      </c>
      <c r="G467" s="67" t="s">
        <v>1052</v>
      </c>
      <c r="H467" s="37">
        <f t="shared" si="7"/>
        <v>464</v>
      </c>
      <c r="I467" s="37"/>
    </row>
    <row r="468" spans="1:9">
      <c r="A468" s="37" t="s">
        <v>532</v>
      </c>
      <c r="B468" s="37" t="s">
        <v>501</v>
      </c>
      <c r="C468" s="74">
        <v>0</v>
      </c>
      <c r="D468" s="74">
        <v>0</v>
      </c>
      <c r="E468" s="74">
        <v>65535</v>
      </c>
      <c r="F468" s="67" t="s">
        <v>230</v>
      </c>
      <c r="G468" s="67" t="s">
        <v>1052</v>
      </c>
      <c r="H468" s="37">
        <f t="shared" si="7"/>
        <v>465</v>
      </c>
      <c r="I468" s="37"/>
    </row>
    <row r="469" spans="1:9">
      <c r="A469" s="37" t="s">
        <v>1006</v>
      </c>
      <c r="B469" s="37" t="s">
        <v>1007</v>
      </c>
      <c r="C469" s="74">
        <v>1</v>
      </c>
      <c r="D469" s="74">
        <v>0</v>
      </c>
      <c r="E469" s="74">
        <v>2147483647</v>
      </c>
      <c r="F469" s="67" t="s">
        <v>230</v>
      </c>
      <c r="G469" s="67" t="s">
        <v>1052</v>
      </c>
      <c r="H469" s="37">
        <f t="shared" si="7"/>
        <v>466</v>
      </c>
      <c r="I469" s="37"/>
    </row>
    <row r="470" spans="1:9">
      <c r="A470" s="37" t="s">
        <v>919</v>
      </c>
      <c r="B470" s="37" t="s">
        <v>920</v>
      </c>
      <c r="C470" s="74" t="s">
        <v>892</v>
      </c>
      <c r="D470" s="74" t="s">
        <v>195</v>
      </c>
      <c r="E470" s="74" t="s">
        <v>228</v>
      </c>
      <c r="F470" s="67" t="s">
        <v>230</v>
      </c>
      <c r="G470" s="67" t="s">
        <v>1052</v>
      </c>
      <c r="H470" s="37">
        <f t="shared" si="7"/>
        <v>467</v>
      </c>
      <c r="I470" s="37"/>
    </row>
    <row r="471" spans="1:9">
      <c r="A471" s="37" t="s">
        <v>921</v>
      </c>
      <c r="B471" s="37" t="s">
        <v>922</v>
      </c>
      <c r="C471" s="74" t="s">
        <v>892</v>
      </c>
      <c r="D471" s="74" t="s">
        <v>195</v>
      </c>
      <c r="E471" s="74" t="s">
        <v>228</v>
      </c>
      <c r="F471" s="67" t="s">
        <v>230</v>
      </c>
      <c r="G471" s="67" t="s">
        <v>1052</v>
      </c>
      <c r="H471" s="37">
        <f t="shared" si="7"/>
        <v>468</v>
      </c>
      <c r="I471" s="37"/>
    </row>
    <row r="472" spans="1:9">
      <c r="A472" s="37" t="s">
        <v>923</v>
      </c>
      <c r="B472" s="37" t="s">
        <v>924</v>
      </c>
      <c r="C472" s="74" t="s">
        <v>892</v>
      </c>
      <c r="D472" s="74" t="s">
        <v>195</v>
      </c>
      <c r="E472" s="74" t="s">
        <v>228</v>
      </c>
      <c r="F472" s="67" t="s">
        <v>230</v>
      </c>
      <c r="G472" s="67" t="s">
        <v>1052</v>
      </c>
      <c r="H472" s="37">
        <f t="shared" si="7"/>
        <v>469</v>
      </c>
      <c r="I472" s="37"/>
    </row>
    <row r="473" spans="1:9">
      <c r="A473" s="37" t="s">
        <v>2996</v>
      </c>
      <c r="B473" s="37" t="s">
        <v>502</v>
      </c>
      <c r="C473" s="74">
        <v>32</v>
      </c>
      <c r="D473" s="74">
        <v>32</v>
      </c>
      <c r="E473" s="74">
        <v>360</v>
      </c>
      <c r="F473" s="67" t="s">
        <v>230</v>
      </c>
      <c r="G473" s="67" t="s">
        <v>1052</v>
      </c>
      <c r="H473" s="37">
        <f t="shared" si="7"/>
        <v>470</v>
      </c>
      <c r="I473" s="37" t="s">
        <v>2970</v>
      </c>
    </row>
    <row r="474" spans="1:9">
      <c r="A474" s="37" t="s">
        <v>2997</v>
      </c>
      <c r="B474" s="37" t="s">
        <v>503</v>
      </c>
      <c r="C474" s="74">
        <v>0</v>
      </c>
      <c r="D474" s="74">
        <v>0</v>
      </c>
      <c r="E474" s="74">
        <v>360</v>
      </c>
      <c r="F474" s="67" t="s">
        <v>230</v>
      </c>
      <c r="G474" s="67" t="s">
        <v>1052</v>
      </c>
      <c r="H474" s="37">
        <f t="shared" si="7"/>
        <v>471</v>
      </c>
      <c r="I474" s="37" t="s">
        <v>2970</v>
      </c>
    </row>
    <row r="475" spans="1:9">
      <c r="A475" s="37" t="s">
        <v>2998</v>
      </c>
      <c r="B475" s="37" t="s">
        <v>504</v>
      </c>
      <c r="C475" s="74">
        <v>0</v>
      </c>
      <c r="D475" s="74">
        <v>0</v>
      </c>
      <c r="E475" s="74">
        <v>360</v>
      </c>
      <c r="F475" s="67" t="s">
        <v>230</v>
      </c>
      <c r="G475" s="67" t="s">
        <v>1052</v>
      </c>
      <c r="H475" s="37">
        <f t="shared" si="7"/>
        <v>472</v>
      </c>
      <c r="I475" s="37" t="s">
        <v>2970</v>
      </c>
    </row>
    <row r="476" spans="1:9">
      <c r="A476" s="37" t="s">
        <v>2999</v>
      </c>
      <c r="B476" s="37" t="s">
        <v>505</v>
      </c>
      <c r="C476" s="74">
        <v>0</v>
      </c>
      <c r="D476" s="74">
        <v>0</v>
      </c>
      <c r="E476" s="74">
        <v>360</v>
      </c>
      <c r="F476" s="67" t="s">
        <v>230</v>
      </c>
      <c r="G476" s="67" t="s">
        <v>1052</v>
      </c>
      <c r="H476" s="37">
        <f t="shared" si="7"/>
        <v>473</v>
      </c>
      <c r="I476" s="37" t="s">
        <v>2970</v>
      </c>
    </row>
    <row r="477" spans="1:9">
      <c r="A477" s="37" t="s">
        <v>3000</v>
      </c>
      <c r="B477" s="37" t="s">
        <v>506</v>
      </c>
      <c r="C477" s="74">
        <v>32</v>
      </c>
      <c r="D477" s="74">
        <v>32</v>
      </c>
      <c r="E477" s="74">
        <v>360</v>
      </c>
      <c r="F477" s="67" t="s">
        <v>230</v>
      </c>
      <c r="G477" s="67" t="s">
        <v>1052</v>
      </c>
      <c r="H477" s="37">
        <f t="shared" si="7"/>
        <v>474</v>
      </c>
      <c r="I477" s="37" t="s">
        <v>2970</v>
      </c>
    </row>
    <row r="478" spans="1:9">
      <c r="A478" s="37" t="s">
        <v>3001</v>
      </c>
      <c r="B478" s="37" t="s">
        <v>507</v>
      </c>
      <c r="C478" s="74">
        <v>0</v>
      </c>
      <c r="D478" s="74">
        <v>0</v>
      </c>
      <c r="E478" s="74">
        <v>360</v>
      </c>
      <c r="F478" s="67" t="s">
        <v>230</v>
      </c>
      <c r="G478" s="67" t="s">
        <v>1052</v>
      </c>
      <c r="H478" s="37">
        <f t="shared" si="7"/>
        <v>475</v>
      </c>
      <c r="I478" s="37" t="s">
        <v>2970</v>
      </c>
    </row>
    <row r="479" spans="1:9">
      <c r="A479" s="37" t="s">
        <v>3002</v>
      </c>
      <c r="B479" s="37" t="s">
        <v>508</v>
      </c>
      <c r="C479" s="74">
        <v>0</v>
      </c>
      <c r="D479" s="74">
        <v>0</v>
      </c>
      <c r="E479" s="74">
        <v>360</v>
      </c>
      <c r="F479" s="67" t="s">
        <v>230</v>
      </c>
      <c r="G479" s="67" t="s">
        <v>1052</v>
      </c>
      <c r="H479" s="37">
        <f t="shared" si="7"/>
        <v>476</v>
      </c>
      <c r="I479" s="37" t="s">
        <v>2970</v>
      </c>
    </row>
    <row r="480" spans="1:9">
      <c r="A480" s="37" t="s">
        <v>3003</v>
      </c>
      <c r="B480" s="37" t="s">
        <v>509</v>
      </c>
      <c r="C480" s="74">
        <v>0</v>
      </c>
      <c r="D480" s="74">
        <v>0</v>
      </c>
      <c r="E480" s="74">
        <v>360</v>
      </c>
      <c r="F480" s="67" t="s">
        <v>230</v>
      </c>
      <c r="G480" s="67" t="s">
        <v>1052</v>
      </c>
      <c r="H480" s="37">
        <f t="shared" si="7"/>
        <v>477</v>
      </c>
      <c r="I480" s="37" t="s">
        <v>2970</v>
      </c>
    </row>
    <row r="481" spans="1:9">
      <c r="A481" s="37" t="s">
        <v>533</v>
      </c>
      <c r="B481" s="37" t="s">
        <v>510</v>
      </c>
      <c r="C481" s="74" t="s">
        <v>186</v>
      </c>
      <c r="D481" s="74" t="s">
        <v>186</v>
      </c>
      <c r="E481" s="74" t="s">
        <v>186</v>
      </c>
      <c r="F481" s="67" t="s">
        <v>230</v>
      </c>
      <c r="G481" s="67" t="s">
        <v>1052</v>
      </c>
      <c r="H481" s="37">
        <f t="shared" si="7"/>
        <v>478</v>
      </c>
      <c r="I481" s="37"/>
    </row>
    <row r="482" spans="1:9">
      <c r="A482" s="37" t="s">
        <v>3140</v>
      </c>
      <c r="B482" s="37" t="s">
        <v>3144</v>
      </c>
      <c r="C482" s="74" t="s">
        <v>186</v>
      </c>
      <c r="D482" s="74" t="s">
        <v>186</v>
      </c>
      <c r="E482" s="74" t="s">
        <v>186</v>
      </c>
      <c r="F482" s="67" t="s">
        <v>230</v>
      </c>
      <c r="G482" s="67" t="s">
        <v>1052</v>
      </c>
      <c r="H482" s="37">
        <f t="shared" si="7"/>
        <v>479</v>
      </c>
      <c r="I482" s="37" t="s">
        <v>3131</v>
      </c>
    </row>
    <row r="483" spans="1:9">
      <c r="A483" s="37" t="s">
        <v>3141</v>
      </c>
      <c r="B483" s="37" t="s">
        <v>3145</v>
      </c>
      <c r="C483" s="74" t="s">
        <v>186</v>
      </c>
      <c r="D483" s="74" t="s">
        <v>186</v>
      </c>
      <c r="E483" s="74" t="s">
        <v>186</v>
      </c>
      <c r="F483" s="67" t="s">
        <v>230</v>
      </c>
      <c r="G483" s="67" t="s">
        <v>1052</v>
      </c>
      <c r="H483" s="37">
        <f t="shared" si="7"/>
        <v>480</v>
      </c>
      <c r="I483" s="37" t="s">
        <v>3131</v>
      </c>
    </row>
    <row r="484" spans="1:9">
      <c r="A484" s="37" t="s">
        <v>3142</v>
      </c>
      <c r="B484" s="37" t="s">
        <v>3146</v>
      </c>
      <c r="C484" s="74" t="s">
        <v>186</v>
      </c>
      <c r="D484" s="74" t="s">
        <v>186</v>
      </c>
      <c r="E484" s="74" t="s">
        <v>186</v>
      </c>
      <c r="F484" s="67" t="s">
        <v>230</v>
      </c>
      <c r="G484" s="67" t="s">
        <v>1052</v>
      </c>
      <c r="H484" s="37">
        <f t="shared" si="7"/>
        <v>481</v>
      </c>
      <c r="I484" s="37" t="s">
        <v>3131</v>
      </c>
    </row>
    <row r="485" spans="1:9">
      <c r="A485" s="37" t="s">
        <v>3143</v>
      </c>
      <c r="B485" s="37" t="s">
        <v>3147</v>
      </c>
      <c r="C485" s="74" t="s">
        <v>186</v>
      </c>
      <c r="D485" s="74" t="s">
        <v>186</v>
      </c>
      <c r="E485" s="74" t="s">
        <v>186</v>
      </c>
      <c r="F485" s="67" t="s">
        <v>230</v>
      </c>
      <c r="G485" s="67" t="s">
        <v>1052</v>
      </c>
      <c r="H485" s="37">
        <f t="shared" si="7"/>
        <v>482</v>
      </c>
      <c r="I485" s="37" t="s">
        <v>3131</v>
      </c>
    </row>
    <row r="486" spans="1:9">
      <c r="A486" s="37" t="s">
        <v>534</v>
      </c>
      <c r="B486" s="37" t="s">
        <v>557</v>
      </c>
      <c r="C486" s="74">
        <v>0</v>
      </c>
      <c r="D486" s="74" t="s">
        <v>195</v>
      </c>
      <c r="E486" s="74" t="s">
        <v>228</v>
      </c>
      <c r="F486" s="67" t="s">
        <v>230</v>
      </c>
      <c r="G486" s="67" t="s">
        <v>1052</v>
      </c>
      <c r="H486" s="37">
        <f t="shared" si="7"/>
        <v>483</v>
      </c>
      <c r="I486" s="37"/>
    </row>
    <row r="487" spans="1:9">
      <c r="A487" s="37" t="s">
        <v>535</v>
      </c>
      <c r="B487" s="37" t="s">
        <v>558</v>
      </c>
      <c r="C487" s="74">
        <v>8</v>
      </c>
      <c r="D487" s="74">
        <v>5</v>
      </c>
      <c r="E487" s="74">
        <v>32</v>
      </c>
      <c r="F487" s="67" t="s">
        <v>230</v>
      </c>
      <c r="G487" s="67" t="s">
        <v>1052</v>
      </c>
      <c r="H487" s="37">
        <f t="shared" si="7"/>
        <v>484</v>
      </c>
      <c r="I487" s="37"/>
    </row>
    <row r="488" spans="1:9">
      <c r="A488" s="37" t="s">
        <v>536</v>
      </c>
      <c r="B488" s="37" t="s">
        <v>559</v>
      </c>
      <c r="C488" s="74">
        <v>7</v>
      </c>
      <c r="D488" s="74">
        <v>4</v>
      </c>
      <c r="E488" s="74">
        <v>32</v>
      </c>
      <c r="F488" s="67" t="s">
        <v>230</v>
      </c>
      <c r="G488" s="67" t="s">
        <v>1052</v>
      </c>
      <c r="H488" s="37">
        <f t="shared" si="7"/>
        <v>485</v>
      </c>
      <c r="I488" s="37"/>
    </row>
    <row r="489" spans="1:9">
      <c r="A489" s="37" t="s">
        <v>537</v>
      </c>
      <c r="B489" s="37" t="s">
        <v>560</v>
      </c>
      <c r="C489" s="74">
        <v>0</v>
      </c>
      <c r="D489" s="74">
        <v>0</v>
      </c>
      <c r="E489" s="74">
        <v>63</v>
      </c>
      <c r="F489" s="67" t="s">
        <v>230</v>
      </c>
      <c r="G489" s="67" t="s">
        <v>1052</v>
      </c>
      <c r="H489" s="37">
        <f t="shared" si="7"/>
        <v>486</v>
      </c>
      <c r="I489" s="37"/>
    </row>
    <row r="490" spans="1:9">
      <c r="A490" s="37" t="s">
        <v>538</v>
      </c>
      <c r="B490" s="37" t="s">
        <v>561</v>
      </c>
      <c r="C490" s="74">
        <v>2</v>
      </c>
      <c r="D490" s="74">
        <v>0</v>
      </c>
      <c r="E490" s="74">
        <v>2</v>
      </c>
      <c r="F490" s="67" t="s">
        <v>230</v>
      </c>
      <c r="G490" s="67" t="s">
        <v>1052</v>
      </c>
      <c r="H490" s="37">
        <f t="shared" si="7"/>
        <v>487</v>
      </c>
      <c r="I490" s="37"/>
    </row>
    <row r="491" spans="1:9">
      <c r="A491" s="37" t="s">
        <v>539</v>
      </c>
      <c r="B491" s="37" t="s">
        <v>562</v>
      </c>
      <c r="C491" s="74">
        <v>1</v>
      </c>
      <c r="D491" s="74">
        <v>1</v>
      </c>
      <c r="E491" s="74">
        <v>125</v>
      </c>
      <c r="F491" s="67" t="s">
        <v>230</v>
      </c>
      <c r="G491" s="67" t="s">
        <v>1052</v>
      </c>
      <c r="H491" s="37">
        <f t="shared" si="7"/>
        <v>488</v>
      </c>
      <c r="I491" s="37"/>
    </row>
    <row r="492" spans="1:9">
      <c r="A492" s="37" t="s">
        <v>540</v>
      </c>
      <c r="B492" s="37" t="s">
        <v>563</v>
      </c>
      <c r="C492" s="74">
        <v>0</v>
      </c>
      <c r="D492" s="74">
        <v>0</v>
      </c>
      <c r="E492" s="74">
        <v>4</v>
      </c>
      <c r="F492" s="67" t="s">
        <v>230</v>
      </c>
      <c r="G492" s="67" t="s">
        <v>1052</v>
      </c>
      <c r="H492" s="37">
        <f t="shared" si="7"/>
        <v>489</v>
      </c>
      <c r="I492" s="37"/>
    </row>
    <row r="493" spans="1:9">
      <c r="A493" s="37" t="s">
        <v>541</v>
      </c>
      <c r="B493" s="37" t="s">
        <v>564</v>
      </c>
      <c r="C493" s="74">
        <v>0</v>
      </c>
      <c r="D493" s="74">
        <v>0</v>
      </c>
      <c r="E493" s="74">
        <v>4</v>
      </c>
      <c r="F493" s="67" t="s">
        <v>230</v>
      </c>
      <c r="G493" s="67" t="s">
        <v>1052</v>
      </c>
      <c r="H493" s="37">
        <f t="shared" si="7"/>
        <v>490</v>
      </c>
      <c r="I493" s="37"/>
    </row>
    <row r="494" spans="1:9">
      <c r="A494" s="37" t="s">
        <v>542</v>
      </c>
      <c r="B494" s="37" t="s">
        <v>565</v>
      </c>
      <c r="C494" s="74">
        <v>4</v>
      </c>
      <c r="D494" s="74">
        <v>0</v>
      </c>
      <c r="E494" s="74">
        <v>4</v>
      </c>
      <c r="F494" s="67" t="s">
        <v>230</v>
      </c>
      <c r="G494" s="67" t="s">
        <v>1052</v>
      </c>
      <c r="H494" s="37">
        <f t="shared" si="7"/>
        <v>491</v>
      </c>
      <c r="I494" s="37"/>
    </row>
    <row r="495" spans="1:9">
      <c r="A495" s="37" t="s">
        <v>543</v>
      </c>
      <c r="B495" s="37" t="s">
        <v>566</v>
      </c>
      <c r="C495" s="74">
        <v>1</v>
      </c>
      <c r="D495" s="74">
        <v>1</v>
      </c>
      <c r="E495" s="74">
        <v>63</v>
      </c>
      <c r="F495" s="67" t="s">
        <v>230</v>
      </c>
      <c r="G495" s="67" t="s">
        <v>1052</v>
      </c>
      <c r="H495" s="37">
        <f t="shared" si="7"/>
        <v>492</v>
      </c>
      <c r="I495" s="37"/>
    </row>
    <row r="496" spans="1:9">
      <c r="A496" s="37" t="s">
        <v>544</v>
      </c>
      <c r="B496" s="37" t="s">
        <v>567</v>
      </c>
      <c r="C496" s="74">
        <v>4</v>
      </c>
      <c r="D496" s="74">
        <v>1</v>
      </c>
      <c r="E496" s="74">
        <v>4</v>
      </c>
      <c r="F496" s="67" t="s">
        <v>230</v>
      </c>
      <c r="G496" s="67" t="s">
        <v>1052</v>
      </c>
      <c r="H496" s="37">
        <f t="shared" si="7"/>
        <v>493</v>
      </c>
      <c r="I496" s="37"/>
    </row>
    <row r="497" spans="1:9">
      <c r="A497" s="37" t="s">
        <v>545</v>
      </c>
      <c r="B497" s="37" t="s">
        <v>568</v>
      </c>
      <c r="C497" s="74">
        <v>1</v>
      </c>
      <c r="D497" s="74">
        <v>1</v>
      </c>
      <c r="E497" s="74">
        <v>2</v>
      </c>
      <c r="F497" s="67" t="s">
        <v>230</v>
      </c>
      <c r="G497" s="67" t="s">
        <v>1052</v>
      </c>
      <c r="H497" s="37">
        <f t="shared" ref="H497:H560" si="8">ROW()-3</f>
        <v>494</v>
      </c>
      <c r="I497" s="37"/>
    </row>
    <row r="498" spans="1:9">
      <c r="A498" s="37" t="s">
        <v>546</v>
      </c>
      <c r="B498" s="37" t="s">
        <v>569</v>
      </c>
      <c r="C498" s="74">
        <v>0</v>
      </c>
      <c r="D498" s="74">
        <v>0</v>
      </c>
      <c r="E498" s="74">
        <v>3</v>
      </c>
      <c r="F498" s="67" t="s">
        <v>230</v>
      </c>
      <c r="G498" s="67" t="s">
        <v>1052</v>
      </c>
      <c r="H498" s="37">
        <f t="shared" si="8"/>
        <v>495</v>
      </c>
      <c r="I498" s="37"/>
    </row>
    <row r="499" spans="1:9">
      <c r="A499" s="37" t="s">
        <v>547</v>
      </c>
      <c r="B499" s="37" t="s">
        <v>570</v>
      </c>
      <c r="C499" s="74" t="s">
        <v>863</v>
      </c>
      <c r="D499" s="74" t="s">
        <v>195</v>
      </c>
      <c r="E499" s="74" t="s">
        <v>228</v>
      </c>
      <c r="F499" s="67" t="s">
        <v>230</v>
      </c>
      <c r="G499" s="67" t="s">
        <v>1052</v>
      </c>
      <c r="H499" s="37">
        <f t="shared" si="8"/>
        <v>496</v>
      </c>
      <c r="I499" s="37"/>
    </row>
    <row r="500" spans="1:9">
      <c r="A500" s="37" t="s">
        <v>548</v>
      </c>
      <c r="B500" s="37" t="s">
        <v>571</v>
      </c>
      <c r="C500" s="74" t="s">
        <v>196</v>
      </c>
      <c r="D500" s="74" t="s">
        <v>195</v>
      </c>
      <c r="E500" s="74" t="s">
        <v>228</v>
      </c>
      <c r="F500" s="67" t="s">
        <v>230</v>
      </c>
      <c r="G500" s="67" t="s">
        <v>1052</v>
      </c>
      <c r="H500" s="37">
        <f t="shared" si="8"/>
        <v>497</v>
      </c>
      <c r="I500" s="37"/>
    </row>
    <row r="501" spans="1:9">
      <c r="A501" s="37" t="s">
        <v>549</v>
      </c>
      <c r="B501" s="37" t="s">
        <v>572</v>
      </c>
      <c r="C501" s="74" t="s">
        <v>864</v>
      </c>
      <c r="D501" s="74" t="s">
        <v>195</v>
      </c>
      <c r="E501" s="74" t="s">
        <v>228</v>
      </c>
      <c r="F501" s="67" t="s">
        <v>230</v>
      </c>
      <c r="G501" s="67" t="s">
        <v>1052</v>
      </c>
      <c r="H501" s="37">
        <f t="shared" si="8"/>
        <v>498</v>
      </c>
      <c r="I501" s="37"/>
    </row>
    <row r="502" spans="1:9">
      <c r="A502" s="37" t="s">
        <v>1113</v>
      </c>
      <c r="B502" s="37" t="s">
        <v>925</v>
      </c>
      <c r="C502" s="74">
        <v>0</v>
      </c>
      <c r="D502" s="74">
        <v>0</v>
      </c>
      <c r="E502" s="74">
        <v>1</v>
      </c>
      <c r="F502" s="67" t="s">
        <v>230</v>
      </c>
      <c r="G502" s="67" t="s">
        <v>1052</v>
      </c>
      <c r="H502" s="37">
        <f t="shared" si="8"/>
        <v>499</v>
      </c>
      <c r="I502" s="37"/>
    </row>
    <row r="503" spans="1:9">
      <c r="A503" s="37" t="s">
        <v>550</v>
      </c>
      <c r="B503" s="37" t="s">
        <v>573</v>
      </c>
      <c r="C503" s="74">
        <v>1</v>
      </c>
      <c r="D503" s="74">
        <v>1</v>
      </c>
      <c r="E503" s="74">
        <v>5</v>
      </c>
      <c r="F503" s="67" t="s">
        <v>230</v>
      </c>
      <c r="G503" s="67" t="s">
        <v>1052</v>
      </c>
      <c r="H503" s="37">
        <f t="shared" si="8"/>
        <v>500</v>
      </c>
      <c r="I503" s="37"/>
    </row>
    <row r="504" spans="1:9">
      <c r="A504" s="37" t="s">
        <v>551</v>
      </c>
      <c r="B504" s="37" t="s">
        <v>574</v>
      </c>
      <c r="C504" s="74">
        <v>32</v>
      </c>
      <c r="D504" s="80">
        <v>0</v>
      </c>
      <c r="E504" s="74">
        <v>504</v>
      </c>
      <c r="F504" s="67" t="s">
        <v>230</v>
      </c>
      <c r="G504" s="67" t="s">
        <v>1052</v>
      </c>
      <c r="H504" s="37">
        <f t="shared" si="8"/>
        <v>501</v>
      </c>
      <c r="I504" s="37" t="s">
        <v>2962</v>
      </c>
    </row>
    <row r="505" spans="1:9">
      <c r="A505" s="37" t="s">
        <v>552</v>
      </c>
      <c r="B505" s="37" t="s">
        <v>575</v>
      </c>
      <c r="C505" s="74">
        <v>32</v>
      </c>
      <c r="D505" s="80">
        <v>0</v>
      </c>
      <c r="E505" s="74">
        <v>504</v>
      </c>
      <c r="F505" s="67" t="s">
        <v>230</v>
      </c>
      <c r="G505" s="67" t="s">
        <v>1052</v>
      </c>
      <c r="H505" s="37">
        <f t="shared" si="8"/>
        <v>502</v>
      </c>
      <c r="I505" s="37" t="s">
        <v>2962</v>
      </c>
    </row>
    <row r="506" spans="1:9">
      <c r="A506" s="37" t="s">
        <v>926</v>
      </c>
      <c r="B506" s="37" t="s">
        <v>927</v>
      </c>
      <c r="C506" s="74">
        <v>0</v>
      </c>
      <c r="D506" s="74">
        <v>0</v>
      </c>
      <c r="E506" s="74">
        <v>1</v>
      </c>
      <c r="F506" s="67" t="s">
        <v>230</v>
      </c>
      <c r="G506" s="67" t="s">
        <v>1052</v>
      </c>
      <c r="H506" s="37">
        <f t="shared" si="8"/>
        <v>503</v>
      </c>
      <c r="I506" s="37"/>
    </row>
    <row r="507" spans="1:9">
      <c r="A507" s="37" t="s">
        <v>928</v>
      </c>
      <c r="B507" s="37" t="s">
        <v>929</v>
      </c>
      <c r="C507" s="74">
        <v>0</v>
      </c>
      <c r="D507" s="74">
        <v>0</v>
      </c>
      <c r="E507" s="74">
        <v>1</v>
      </c>
      <c r="F507" s="67" t="s">
        <v>230</v>
      </c>
      <c r="G507" s="67" t="s">
        <v>1052</v>
      </c>
      <c r="H507" s="37">
        <f t="shared" si="8"/>
        <v>504</v>
      </c>
      <c r="I507" s="37"/>
    </row>
    <row r="508" spans="1:9">
      <c r="A508" s="37" t="s">
        <v>930</v>
      </c>
      <c r="B508" s="37" t="s">
        <v>931</v>
      </c>
      <c r="C508" s="74">
        <v>0</v>
      </c>
      <c r="D508" s="74">
        <v>0</v>
      </c>
      <c r="E508" s="74">
        <v>1</v>
      </c>
      <c r="F508" s="67" t="s">
        <v>230</v>
      </c>
      <c r="G508" s="67" t="s">
        <v>1052</v>
      </c>
      <c r="H508" s="37">
        <f t="shared" si="8"/>
        <v>505</v>
      </c>
      <c r="I508" s="37"/>
    </row>
    <row r="509" spans="1:9">
      <c r="A509" s="37" t="s">
        <v>553</v>
      </c>
      <c r="B509" s="37" t="s">
        <v>576</v>
      </c>
      <c r="C509" s="74">
        <v>32</v>
      </c>
      <c r="D509" s="74">
        <v>5</v>
      </c>
      <c r="E509" s="74">
        <v>256</v>
      </c>
      <c r="F509" s="67" t="s">
        <v>230</v>
      </c>
      <c r="G509" s="67" t="s">
        <v>1052</v>
      </c>
      <c r="H509" s="37">
        <f t="shared" si="8"/>
        <v>506</v>
      </c>
      <c r="I509" s="37"/>
    </row>
    <row r="510" spans="1:9">
      <c r="A510" s="37" t="s">
        <v>554</v>
      </c>
      <c r="B510" s="37" t="s">
        <v>577</v>
      </c>
      <c r="C510" s="74">
        <v>32</v>
      </c>
      <c r="D510" s="74">
        <v>4</v>
      </c>
      <c r="E510" s="74">
        <v>256</v>
      </c>
      <c r="F510" s="67" t="s">
        <v>230</v>
      </c>
      <c r="G510" s="67" t="s">
        <v>1052</v>
      </c>
      <c r="H510" s="37">
        <f t="shared" si="8"/>
        <v>507</v>
      </c>
      <c r="I510" s="37"/>
    </row>
    <row r="511" spans="1:9">
      <c r="A511" s="37" t="s">
        <v>555</v>
      </c>
      <c r="B511" s="37" t="s">
        <v>578</v>
      </c>
      <c r="C511" s="74">
        <v>0</v>
      </c>
      <c r="D511" s="74">
        <v>0</v>
      </c>
      <c r="E511" s="74">
        <v>65535</v>
      </c>
      <c r="F511" s="67" t="s">
        <v>230</v>
      </c>
      <c r="G511" s="67" t="s">
        <v>1052</v>
      </c>
      <c r="H511" s="37">
        <f t="shared" si="8"/>
        <v>508</v>
      </c>
      <c r="I511" s="37"/>
    </row>
    <row r="512" spans="1:9">
      <c r="A512" s="37" t="s">
        <v>1008</v>
      </c>
      <c r="B512" s="37" t="s">
        <v>1009</v>
      </c>
      <c r="C512" s="74">
        <v>1</v>
      </c>
      <c r="D512" s="74">
        <v>0</v>
      </c>
      <c r="E512" s="74">
        <v>2147483647</v>
      </c>
      <c r="F512" s="67" t="s">
        <v>230</v>
      </c>
      <c r="G512" s="67" t="s">
        <v>1052</v>
      </c>
      <c r="H512" s="37">
        <f t="shared" si="8"/>
        <v>509</v>
      </c>
      <c r="I512" s="37"/>
    </row>
    <row r="513" spans="1:9">
      <c r="A513" s="37" t="s">
        <v>932</v>
      </c>
      <c r="B513" s="37" t="s">
        <v>933</v>
      </c>
      <c r="C513" s="74" t="s">
        <v>875</v>
      </c>
      <c r="D513" s="74" t="s">
        <v>195</v>
      </c>
      <c r="E513" s="74" t="s">
        <v>228</v>
      </c>
      <c r="F513" s="67" t="s">
        <v>230</v>
      </c>
      <c r="G513" s="67" t="s">
        <v>1052</v>
      </c>
      <c r="H513" s="37">
        <f t="shared" si="8"/>
        <v>510</v>
      </c>
      <c r="I513" s="37"/>
    </row>
    <row r="514" spans="1:9">
      <c r="A514" s="37" t="s">
        <v>934</v>
      </c>
      <c r="B514" s="37" t="s">
        <v>935</v>
      </c>
      <c r="C514" s="74" t="s">
        <v>875</v>
      </c>
      <c r="D514" s="74" t="s">
        <v>195</v>
      </c>
      <c r="E514" s="74" t="s">
        <v>228</v>
      </c>
      <c r="F514" s="67" t="s">
        <v>230</v>
      </c>
      <c r="G514" s="67" t="s">
        <v>1052</v>
      </c>
      <c r="H514" s="37">
        <f t="shared" si="8"/>
        <v>511</v>
      </c>
      <c r="I514" s="37"/>
    </row>
    <row r="515" spans="1:9">
      <c r="A515" s="37" t="s">
        <v>936</v>
      </c>
      <c r="B515" s="37" t="s">
        <v>937</v>
      </c>
      <c r="C515" s="74" t="s">
        <v>875</v>
      </c>
      <c r="D515" s="74" t="s">
        <v>195</v>
      </c>
      <c r="E515" s="74" t="s">
        <v>228</v>
      </c>
      <c r="F515" s="67" t="s">
        <v>230</v>
      </c>
      <c r="G515" s="67" t="s">
        <v>1052</v>
      </c>
      <c r="H515" s="37">
        <f t="shared" si="8"/>
        <v>512</v>
      </c>
      <c r="I515" s="37"/>
    </row>
    <row r="516" spans="1:9">
      <c r="A516" s="37" t="s">
        <v>3004</v>
      </c>
      <c r="B516" s="37" t="s">
        <v>579</v>
      </c>
      <c r="C516" s="74">
        <v>32</v>
      </c>
      <c r="D516" s="74">
        <v>32</v>
      </c>
      <c r="E516" s="74">
        <v>360</v>
      </c>
      <c r="F516" s="67" t="s">
        <v>230</v>
      </c>
      <c r="G516" s="67" t="s">
        <v>1052</v>
      </c>
      <c r="H516" s="37">
        <f t="shared" si="8"/>
        <v>513</v>
      </c>
      <c r="I516" s="37" t="s">
        <v>2970</v>
      </c>
    </row>
    <row r="517" spans="1:9">
      <c r="A517" s="37" t="s">
        <v>3005</v>
      </c>
      <c r="B517" s="37" t="s">
        <v>580</v>
      </c>
      <c r="C517" s="74">
        <v>0</v>
      </c>
      <c r="D517" s="74">
        <v>0</v>
      </c>
      <c r="E517" s="74">
        <v>360</v>
      </c>
      <c r="F517" s="67" t="s">
        <v>230</v>
      </c>
      <c r="G517" s="67" t="s">
        <v>1052</v>
      </c>
      <c r="H517" s="37">
        <f t="shared" si="8"/>
        <v>514</v>
      </c>
      <c r="I517" s="37" t="s">
        <v>2970</v>
      </c>
    </row>
    <row r="518" spans="1:9">
      <c r="A518" s="37" t="s">
        <v>3006</v>
      </c>
      <c r="B518" s="37" t="s">
        <v>581</v>
      </c>
      <c r="C518" s="74">
        <v>0</v>
      </c>
      <c r="D518" s="74">
        <v>0</v>
      </c>
      <c r="E518" s="74">
        <v>360</v>
      </c>
      <c r="F518" s="67" t="s">
        <v>230</v>
      </c>
      <c r="G518" s="67" t="s">
        <v>1052</v>
      </c>
      <c r="H518" s="37">
        <f t="shared" si="8"/>
        <v>515</v>
      </c>
      <c r="I518" s="37" t="s">
        <v>2970</v>
      </c>
    </row>
    <row r="519" spans="1:9">
      <c r="A519" s="37" t="s">
        <v>3007</v>
      </c>
      <c r="B519" s="37" t="s">
        <v>582</v>
      </c>
      <c r="C519" s="74">
        <v>0</v>
      </c>
      <c r="D519" s="74">
        <v>0</v>
      </c>
      <c r="E519" s="74">
        <v>360</v>
      </c>
      <c r="F519" s="67" t="s">
        <v>230</v>
      </c>
      <c r="G519" s="67" t="s">
        <v>1052</v>
      </c>
      <c r="H519" s="37">
        <f t="shared" si="8"/>
        <v>516</v>
      </c>
      <c r="I519" s="37" t="s">
        <v>2970</v>
      </c>
    </row>
    <row r="520" spans="1:9">
      <c r="A520" s="37" t="s">
        <v>3008</v>
      </c>
      <c r="B520" s="37" t="s">
        <v>583</v>
      </c>
      <c r="C520" s="74">
        <v>32</v>
      </c>
      <c r="D520" s="74">
        <v>32</v>
      </c>
      <c r="E520" s="74">
        <v>360</v>
      </c>
      <c r="F520" s="67" t="s">
        <v>230</v>
      </c>
      <c r="G520" s="67" t="s">
        <v>1052</v>
      </c>
      <c r="H520" s="37">
        <f t="shared" si="8"/>
        <v>517</v>
      </c>
      <c r="I520" s="37" t="s">
        <v>2970</v>
      </c>
    </row>
    <row r="521" spans="1:9">
      <c r="A521" s="37" t="s">
        <v>3009</v>
      </c>
      <c r="B521" s="37" t="s">
        <v>584</v>
      </c>
      <c r="C521" s="74">
        <v>0</v>
      </c>
      <c r="D521" s="74">
        <v>0</v>
      </c>
      <c r="E521" s="74">
        <v>360</v>
      </c>
      <c r="F521" s="67" t="s">
        <v>230</v>
      </c>
      <c r="G521" s="67" t="s">
        <v>1052</v>
      </c>
      <c r="H521" s="37">
        <f t="shared" si="8"/>
        <v>518</v>
      </c>
      <c r="I521" s="37" t="s">
        <v>2970</v>
      </c>
    </row>
    <row r="522" spans="1:9">
      <c r="A522" s="37" t="s">
        <v>3010</v>
      </c>
      <c r="B522" s="37" t="s">
        <v>585</v>
      </c>
      <c r="C522" s="74">
        <v>0</v>
      </c>
      <c r="D522" s="74">
        <v>0</v>
      </c>
      <c r="E522" s="74">
        <v>360</v>
      </c>
      <c r="F522" s="67" t="s">
        <v>230</v>
      </c>
      <c r="G522" s="67" t="s">
        <v>1052</v>
      </c>
      <c r="H522" s="37">
        <f t="shared" si="8"/>
        <v>519</v>
      </c>
      <c r="I522" s="37" t="s">
        <v>2970</v>
      </c>
    </row>
    <row r="523" spans="1:9">
      <c r="A523" s="37" t="s">
        <v>3011</v>
      </c>
      <c r="B523" s="37" t="s">
        <v>586</v>
      </c>
      <c r="C523" s="74">
        <v>0</v>
      </c>
      <c r="D523" s="74">
        <v>0</v>
      </c>
      <c r="E523" s="74">
        <v>360</v>
      </c>
      <c r="F523" s="67" t="s">
        <v>230</v>
      </c>
      <c r="G523" s="67" t="s">
        <v>1052</v>
      </c>
      <c r="H523" s="37">
        <f t="shared" si="8"/>
        <v>520</v>
      </c>
      <c r="I523" s="37" t="s">
        <v>2970</v>
      </c>
    </row>
    <row r="524" spans="1:9">
      <c r="A524" s="37" t="s">
        <v>556</v>
      </c>
      <c r="B524" s="37" t="s">
        <v>587</v>
      </c>
      <c r="C524" s="74" t="s">
        <v>186</v>
      </c>
      <c r="D524" s="74" t="s">
        <v>186</v>
      </c>
      <c r="E524" s="74" t="s">
        <v>186</v>
      </c>
      <c r="F524" s="67" t="s">
        <v>230</v>
      </c>
      <c r="G524" s="67" t="s">
        <v>1052</v>
      </c>
      <c r="H524" s="37">
        <f t="shared" si="8"/>
        <v>521</v>
      </c>
      <c r="I524" s="37"/>
    </row>
    <row r="525" spans="1:9">
      <c r="A525" s="37" t="s">
        <v>3148</v>
      </c>
      <c r="B525" s="37" t="s">
        <v>3155</v>
      </c>
      <c r="C525" s="74" t="s">
        <v>186</v>
      </c>
      <c r="D525" s="74" t="s">
        <v>186</v>
      </c>
      <c r="E525" s="74" t="s">
        <v>186</v>
      </c>
      <c r="F525" s="67" t="s">
        <v>230</v>
      </c>
      <c r="G525" s="67" t="s">
        <v>1052</v>
      </c>
      <c r="H525" s="37">
        <f t="shared" si="8"/>
        <v>522</v>
      </c>
      <c r="I525" s="37" t="s">
        <v>3131</v>
      </c>
    </row>
    <row r="526" spans="1:9">
      <c r="A526" s="37" t="s">
        <v>3149</v>
      </c>
      <c r="B526" s="37" t="s">
        <v>3154</v>
      </c>
      <c r="C526" s="74" t="s">
        <v>186</v>
      </c>
      <c r="D526" s="74" t="s">
        <v>186</v>
      </c>
      <c r="E526" s="74" t="s">
        <v>186</v>
      </c>
      <c r="F526" s="67" t="s">
        <v>230</v>
      </c>
      <c r="G526" s="67" t="s">
        <v>1052</v>
      </c>
      <c r="H526" s="37">
        <f t="shared" si="8"/>
        <v>523</v>
      </c>
      <c r="I526" s="37" t="s">
        <v>3131</v>
      </c>
    </row>
    <row r="527" spans="1:9">
      <c r="A527" s="37" t="s">
        <v>3150</v>
      </c>
      <c r="B527" s="37" t="s">
        <v>3153</v>
      </c>
      <c r="C527" s="74" t="s">
        <v>186</v>
      </c>
      <c r="D527" s="74" t="s">
        <v>186</v>
      </c>
      <c r="E527" s="74" t="s">
        <v>186</v>
      </c>
      <c r="F527" s="67" t="s">
        <v>230</v>
      </c>
      <c r="G527" s="67" t="s">
        <v>1052</v>
      </c>
      <c r="H527" s="37">
        <f t="shared" si="8"/>
        <v>524</v>
      </c>
      <c r="I527" s="37" t="s">
        <v>3131</v>
      </c>
    </row>
    <row r="528" spans="1:9">
      <c r="A528" s="37" t="s">
        <v>3151</v>
      </c>
      <c r="B528" s="37" t="s">
        <v>3152</v>
      </c>
      <c r="C528" s="74" t="s">
        <v>186</v>
      </c>
      <c r="D528" s="74" t="s">
        <v>186</v>
      </c>
      <c r="E528" s="74" t="s">
        <v>186</v>
      </c>
      <c r="F528" s="67" t="s">
        <v>230</v>
      </c>
      <c r="G528" s="67" t="s">
        <v>1052</v>
      </c>
      <c r="H528" s="37">
        <f t="shared" si="8"/>
        <v>525</v>
      </c>
      <c r="I528" s="37" t="s">
        <v>3131</v>
      </c>
    </row>
    <row r="529" spans="1:9">
      <c r="A529" s="37" t="s">
        <v>619</v>
      </c>
      <c r="B529" s="37" t="s">
        <v>588</v>
      </c>
      <c r="C529" s="74">
        <v>0</v>
      </c>
      <c r="D529" s="74" t="s">
        <v>195</v>
      </c>
      <c r="E529" s="74" t="s">
        <v>228</v>
      </c>
      <c r="F529" s="67" t="s">
        <v>230</v>
      </c>
      <c r="G529" s="67" t="s">
        <v>1052</v>
      </c>
      <c r="H529" s="37">
        <f t="shared" si="8"/>
        <v>526</v>
      </c>
      <c r="I529" s="37"/>
    </row>
    <row r="530" spans="1:9">
      <c r="A530" s="37" t="s">
        <v>620</v>
      </c>
      <c r="B530" s="37" t="s">
        <v>589</v>
      </c>
      <c r="C530" s="74">
        <v>8</v>
      </c>
      <c r="D530" s="74">
        <v>5</v>
      </c>
      <c r="E530" s="74">
        <v>32</v>
      </c>
      <c r="F530" s="67" t="s">
        <v>230</v>
      </c>
      <c r="G530" s="67" t="s">
        <v>1052</v>
      </c>
      <c r="H530" s="37">
        <f t="shared" si="8"/>
        <v>527</v>
      </c>
      <c r="I530" s="37"/>
    </row>
    <row r="531" spans="1:9">
      <c r="A531" s="37" t="s">
        <v>621</v>
      </c>
      <c r="B531" s="37" t="s">
        <v>590</v>
      </c>
      <c r="C531" s="74">
        <v>7</v>
      </c>
      <c r="D531" s="74">
        <v>4</v>
      </c>
      <c r="E531" s="74">
        <v>32</v>
      </c>
      <c r="F531" s="67" t="s">
        <v>230</v>
      </c>
      <c r="G531" s="67" t="s">
        <v>1052</v>
      </c>
      <c r="H531" s="37">
        <f t="shared" si="8"/>
        <v>528</v>
      </c>
      <c r="I531" s="37"/>
    </row>
    <row r="532" spans="1:9">
      <c r="A532" s="37" t="s">
        <v>622</v>
      </c>
      <c r="B532" s="37" t="s">
        <v>591</v>
      </c>
      <c r="C532" s="74">
        <v>0</v>
      </c>
      <c r="D532" s="74">
        <v>0</v>
      </c>
      <c r="E532" s="74">
        <v>63</v>
      </c>
      <c r="F532" s="67" t="s">
        <v>230</v>
      </c>
      <c r="G532" s="67" t="s">
        <v>1052</v>
      </c>
      <c r="H532" s="37">
        <f t="shared" si="8"/>
        <v>529</v>
      </c>
      <c r="I532" s="37"/>
    </row>
    <row r="533" spans="1:9">
      <c r="A533" s="37" t="s">
        <v>623</v>
      </c>
      <c r="B533" s="37" t="s">
        <v>592</v>
      </c>
      <c r="C533" s="74">
        <v>2</v>
      </c>
      <c r="D533" s="74">
        <v>0</v>
      </c>
      <c r="E533" s="74">
        <v>2</v>
      </c>
      <c r="F533" s="67" t="s">
        <v>230</v>
      </c>
      <c r="G533" s="67" t="s">
        <v>1052</v>
      </c>
      <c r="H533" s="37">
        <f t="shared" si="8"/>
        <v>530</v>
      </c>
      <c r="I533" s="37"/>
    </row>
    <row r="534" spans="1:9">
      <c r="A534" s="37" t="s">
        <v>624</v>
      </c>
      <c r="B534" s="37" t="s">
        <v>593</v>
      </c>
      <c r="C534" s="74">
        <v>1</v>
      </c>
      <c r="D534" s="74">
        <v>1</v>
      </c>
      <c r="E534" s="74">
        <v>125</v>
      </c>
      <c r="F534" s="67" t="s">
        <v>230</v>
      </c>
      <c r="G534" s="67" t="s">
        <v>1052</v>
      </c>
      <c r="H534" s="37">
        <f t="shared" si="8"/>
        <v>531</v>
      </c>
      <c r="I534" s="37"/>
    </row>
    <row r="535" spans="1:9">
      <c r="A535" s="37" t="s">
        <v>625</v>
      </c>
      <c r="B535" s="37" t="s">
        <v>594</v>
      </c>
      <c r="C535" s="74">
        <v>0</v>
      </c>
      <c r="D535" s="74">
        <v>0</v>
      </c>
      <c r="E535" s="74">
        <v>4</v>
      </c>
      <c r="F535" s="67" t="s">
        <v>230</v>
      </c>
      <c r="G535" s="67" t="s">
        <v>1052</v>
      </c>
      <c r="H535" s="37">
        <f t="shared" si="8"/>
        <v>532</v>
      </c>
      <c r="I535" s="37"/>
    </row>
    <row r="536" spans="1:9">
      <c r="A536" s="37" t="s">
        <v>626</v>
      </c>
      <c r="B536" s="37" t="s">
        <v>595</v>
      </c>
      <c r="C536" s="74">
        <v>0</v>
      </c>
      <c r="D536" s="74">
        <v>0</v>
      </c>
      <c r="E536" s="74">
        <v>4</v>
      </c>
      <c r="F536" s="67" t="s">
        <v>230</v>
      </c>
      <c r="G536" s="67" t="s">
        <v>1052</v>
      </c>
      <c r="H536" s="37">
        <f t="shared" si="8"/>
        <v>533</v>
      </c>
      <c r="I536" s="37"/>
    </row>
    <row r="537" spans="1:9">
      <c r="A537" s="37" t="s">
        <v>627</v>
      </c>
      <c r="B537" s="37" t="s">
        <v>596</v>
      </c>
      <c r="C537" s="74">
        <v>4</v>
      </c>
      <c r="D537" s="74">
        <v>0</v>
      </c>
      <c r="E537" s="74">
        <v>4</v>
      </c>
      <c r="F537" s="67" t="s">
        <v>230</v>
      </c>
      <c r="G537" s="67" t="s">
        <v>1052</v>
      </c>
      <c r="H537" s="37">
        <f t="shared" si="8"/>
        <v>534</v>
      </c>
      <c r="I537" s="37"/>
    </row>
    <row r="538" spans="1:9">
      <c r="A538" s="37" t="s">
        <v>628</v>
      </c>
      <c r="B538" s="37" t="s">
        <v>597</v>
      </c>
      <c r="C538" s="74">
        <v>1</v>
      </c>
      <c r="D538" s="74">
        <v>1</v>
      </c>
      <c r="E538" s="74">
        <v>63</v>
      </c>
      <c r="F538" s="67" t="s">
        <v>230</v>
      </c>
      <c r="G538" s="67" t="s">
        <v>1052</v>
      </c>
      <c r="H538" s="37">
        <f t="shared" si="8"/>
        <v>535</v>
      </c>
      <c r="I538" s="37"/>
    </row>
    <row r="539" spans="1:9">
      <c r="A539" s="37" t="s">
        <v>629</v>
      </c>
      <c r="B539" s="37" t="s">
        <v>598</v>
      </c>
      <c r="C539" s="74">
        <v>4</v>
      </c>
      <c r="D539" s="74">
        <v>1</v>
      </c>
      <c r="E539" s="74">
        <v>4</v>
      </c>
      <c r="F539" s="67" t="s">
        <v>230</v>
      </c>
      <c r="G539" s="67" t="s">
        <v>1052</v>
      </c>
      <c r="H539" s="37">
        <f t="shared" si="8"/>
        <v>536</v>
      </c>
      <c r="I539" s="37"/>
    </row>
    <row r="540" spans="1:9">
      <c r="A540" s="37" t="s">
        <v>630</v>
      </c>
      <c r="B540" s="37" t="s">
        <v>599</v>
      </c>
      <c r="C540" s="74">
        <v>1</v>
      </c>
      <c r="D540" s="74">
        <v>1</v>
      </c>
      <c r="E540" s="74">
        <v>2</v>
      </c>
      <c r="F540" s="67" t="s">
        <v>230</v>
      </c>
      <c r="G540" s="67" t="s">
        <v>1052</v>
      </c>
      <c r="H540" s="37">
        <f t="shared" si="8"/>
        <v>537</v>
      </c>
      <c r="I540" s="37"/>
    </row>
    <row r="541" spans="1:9">
      <c r="A541" s="37" t="s">
        <v>631</v>
      </c>
      <c r="B541" s="37" t="s">
        <v>600</v>
      </c>
      <c r="C541" s="74">
        <v>0</v>
      </c>
      <c r="D541" s="74">
        <v>0</v>
      </c>
      <c r="E541" s="74">
        <v>3</v>
      </c>
      <c r="F541" s="67" t="s">
        <v>230</v>
      </c>
      <c r="G541" s="67" t="s">
        <v>1052</v>
      </c>
      <c r="H541" s="37">
        <f t="shared" si="8"/>
        <v>538</v>
      </c>
      <c r="I541" s="37"/>
    </row>
    <row r="542" spans="1:9">
      <c r="A542" s="37" t="s">
        <v>632</v>
      </c>
      <c r="B542" s="37" t="s">
        <v>601</v>
      </c>
      <c r="C542" s="74" t="s">
        <v>880</v>
      </c>
      <c r="D542" s="74" t="s">
        <v>195</v>
      </c>
      <c r="E542" s="74" t="s">
        <v>228</v>
      </c>
      <c r="F542" s="67" t="s">
        <v>230</v>
      </c>
      <c r="G542" s="67" t="s">
        <v>1052</v>
      </c>
      <c r="H542" s="37">
        <f t="shared" si="8"/>
        <v>539</v>
      </c>
      <c r="I542" s="37"/>
    </row>
    <row r="543" spans="1:9">
      <c r="A543" s="37" t="s">
        <v>633</v>
      </c>
      <c r="B543" s="37" t="s">
        <v>602</v>
      </c>
      <c r="C543" s="74" t="s">
        <v>196</v>
      </c>
      <c r="D543" s="74" t="s">
        <v>195</v>
      </c>
      <c r="E543" s="74" t="s">
        <v>228</v>
      </c>
      <c r="F543" s="67" t="s">
        <v>230</v>
      </c>
      <c r="G543" s="67" t="s">
        <v>1052</v>
      </c>
      <c r="H543" s="37">
        <f t="shared" si="8"/>
        <v>540</v>
      </c>
      <c r="I543" s="37"/>
    </row>
    <row r="544" spans="1:9">
      <c r="A544" s="37" t="s">
        <v>634</v>
      </c>
      <c r="B544" s="37" t="s">
        <v>603</v>
      </c>
      <c r="C544" s="74" t="s">
        <v>881</v>
      </c>
      <c r="D544" s="74" t="s">
        <v>195</v>
      </c>
      <c r="E544" s="74" t="s">
        <v>228</v>
      </c>
      <c r="F544" s="67" t="s">
        <v>230</v>
      </c>
      <c r="G544" s="67" t="s">
        <v>1052</v>
      </c>
      <c r="H544" s="37">
        <f t="shared" si="8"/>
        <v>541</v>
      </c>
      <c r="I544" s="37"/>
    </row>
    <row r="545" spans="1:9">
      <c r="A545" s="37" t="s">
        <v>938</v>
      </c>
      <c r="B545" s="37" t="s">
        <v>939</v>
      </c>
      <c r="C545" s="74">
        <v>0</v>
      </c>
      <c r="D545" s="74">
        <v>0</v>
      </c>
      <c r="E545" s="74">
        <v>1</v>
      </c>
      <c r="F545" s="67" t="s">
        <v>230</v>
      </c>
      <c r="G545" s="67" t="s">
        <v>1052</v>
      </c>
      <c r="H545" s="37">
        <f t="shared" si="8"/>
        <v>542</v>
      </c>
      <c r="I545" s="37"/>
    </row>
    <row r="546" spans="1:9">
      <c r="A546" s="37" t="s">
        <v>635</v>
      </c>
      <c r="B546" s="37" t="s">
        <v>604</v>
      </c>
      <c r="C546" s="74">
        <v>1</v>
      </c>
      <c r="D546" s="74">
        <v>1</v>
      </c>
      <c r="E546" s="74">
        <v>5</v>
      </c>
      <c r="F546" s="67" t="s">
        <v>230</v>
      </c>
      <c r="G546" s="67" t="s">
        <v>1052</v>
      </c>
      <c r="H546" s="37">
        <f t="shared" si="8"/>
        <v>543</v>
      </c>
      <c r="I546" s="37"/>
    </row>
    <row r="547" spans="1:9">
      <c r="A547" s="37" t="s">
        <v>636</v>
      </c>
      <c r="B547" s="37" t="s">
        <v>605</v>
      </c>
      <c r="C547" s="74">
        <v>32</v>
      </c>
      <c r="D547" s="80">
        <v>0</v>
      </c>
      <c r="E547" s="74">
        <v>504</v>
      </c>
      <c r="F547" s="67" t="s">
        <v>230</v>
      </c>
      <c r="G547" s="67" t="s">
        <v>1052</v>
      </c>
      <c r="H547" s="37">
        <f t="shared" si="8"/>
        <v>544</v>
      </c>
      <c r="I547" s="37" t="s">
        <v>2962</v>
      </c>
    </row>
    <row r="548" spans="1:9">
      <c r="A548" s="37" t="s">
        <v>637</v>
      </c>
      <c r="B548" s="37" t="s">
        <v>606</v>
      </c>
      <c r="C548" s="74">
        <v>32</v>
      </c>
      <c r="D548" s="80">
        <v>0</v>
      </c>
      <c r="E548" s="74">
        <v>504</v>
      </c>
      <c r="F548" s="67" t="s">
        <v>230</v>
      </c>
      <c r="G548" s="67" t="s">
        <v>1052</v>
      </c>
      <c r="H548" s="37">
        <f t="shared" si="8"/>
        <v>545</v>
      </c>
      <c r="I548" s="37" t="s">
        <v>2962</v>
      </c>
    </row>
    <row r="549" spans="1:9">
      <c r="A549" s="37" t="s">
        <v>940</v>
      </c>
      <c r="B549" s="37" t="s">
        <v>941</v>
      </c>
      <c r="C549" s="74">
        <v>0</v>
      </c>
      <c r="D549" s="74">
        <v>0</v>
      </c>
      <c r="E549" s="74">
        <v>1</v>
      </c>
      <c r="F549" s="67" t="s">
        <v>230</v>
      </c>
      <c r="G549" s="67" t="s">
        <v>1052</v>
      </c>
      <c r="H549" s="37">
        <f t="shared" si="8"/>
        <v>546</v>
      </c>
      <c r="I549" s="37"/>
    </row>
    <row r="550" spans="1:9">
      <c r="A550" s="37" t="s">
        <v>942</v>
      </c>
      <c r="B550" s="37" t="s">
        <v>943</v>
      </c>
      <c r="C550" s="74">
        <v>0</v>
      </c>
      <c r="D550" s="74">
        <v>0</v>
      </c>
      <c r="E550" s="74">
        <v>1</v>
      </c>
      <c r="F550" s="67" t="s">
        <v>230</v>
      </c>
      <c r="G550" s="67" t="s">
        <v>1052</v>
      </c>
      <c r="H550" s="37">
        <f t="shared" si="8"/>
        <v>547</v>
      </c>
      <c r="I550" s="37"/>
    </row>
    <row r="551" spans="1:9">
      <c r="A551" s="37" t="s">
        <v>944</v>
      </c>
      <c r="B551" s="37" t="s">
        <v>945</v>
      </c>
      <c r="C551" s="74">
        <v>0</v>
      </c>
      <c r="D551" s="74">
        <v>0</v>
      </c>
      <c r="E551" s="74">
        <v>1</v>
      </c>
      <c r="F551" s="67" t="s">
        <v>230</v>
      </c>
      <c r="G551" s="67" t="s">
        <v>1052</v>
      </c>
      <c r="H551" s="37">
        <f t="shared" si="8"/>
        <v>548</v>
      </c>
      <c r="I551" s="37"/>
    </row>
    <row r="552" spans="1:9">
      <c r="A552" s="37" t="s">
        <v>638</v>
      </c>
      <c r="B552" s="37" t="s">
        <v>607</v>
      </c>
      <c r="C552" s="74">
        <v>32</v>
      </c>
      <c r="D552" s="74">
        <v>5</v>
      </c>
      <c r="E552" s="74">
        <v>256</v>
      </c>
      <c r="F552" s="67" t="s">
        <v>230</v>
      </c>
      <c r="G552" s="67" t="s">
        <v>1052</v>
      </c>
      <c r="H552" s="37">
        <f t="shared" si="8"/>
        <v>549</v>
      </c>
      <c r="I552" s="37"/>
    </row>
    <row r="553" spans="1:9">
      <c r="A553" s="37" t="s">
        <v>639</v>
      </c>
      <c r="B553" s="37" t="s">
        <v>608</v>
      </c>
      <c r="C553" s="74">
        <v>32</v>
      </c>
      <c r="D553" s="74">
        <v>4</v>
      </c>
      <c r="E553" s="74">
        <v>256</v>
      </c>
      <c r="F553" s="67" t="s">
        <v>230</v>
      </c>
      <c r="G553" s="67" t="s">
        <v>1052</v>
      </c>
      <c r="H553" s="37">
        <f t="shared" si="8"/>
        <v>550</v>
      </c>
      <c r="I553" s="37"/>
    </row>
    <row r="554" spans="1:9">
      <c r="A554" s="37" t="s">
        <v>640</v>
      </c>
      <c r="B554" s="37" t="s">
        <v>609</v>
      </c>
      <c r="C554" s="74">
        <v>0</v>
      </c>
      <c r="D554" s="74">
        <v>0</v>
      </c>
      <c r="E554" s="74">
        <v>65535</v>
      </c>
      <c r="F554" s="67" t="s">
        <v>230</v>
      </c>
      <c r="G554" s="67" t="s">
        <v>1052</v>
      </c>
      <c r="H554" s="37">
        <f t="shared" si="8"/>
        <v>551</v>
      </c>
      <c r="I554" s="37"/>
    </row>
    <row r="555" spans="1:9">
      <c r="A555" s="37" t="s">
        <v>1010</v>
      </c>
      <c r="B555" s="37" t="s">
        <v>1011</v>
      </c>
      <c r="C555" s="74">
        <v>1</v>
      </c>
      <c r="D555" s="74">
        <v>0</v>
      </c>
      <c r="E555" s="74">
        <v>2147483647</v>
      </c>
      <c r="F555" s="67" t="s">
        <v>230</v>
      </c>
      <c r="G555" s="67" t="s">
        <v>1052</v>
      </c>
      <c r="H555" s="37">
        <f t="shared" si="8"/>
        <v>552</v>
      </c>
      <c r="I555" s="37"/>
    </row>
    <row r="556" spans="1:9">
      <c r="A556" s="37" t="s">
        <v>946</v>
      </c>
      <c r="B556" s="37" t="s">
        <v>947</v>
      </c>
      <c r="C556" s="74" t="s">
        <v>892</v>
      </c>
      <c r="D556" s="74" t="s">
        <v>195</v>
      </c>
      <c r="E556" s="74" t="s">
        <v>228</v>
      </c>
      <c r="F556" s="67" t="s">
        <v>230</v>
      </c>
      <c r="G556" s="67" t="s">
        <v>1052</v>
      </c>
      <c r="H556" s="37">
        <f t="shared" si="8"/>
        <v>553</v>
      </c>
      <c r="I556" s="37"/>
    </row>
    <row r="557" spans="1:9">
      <c r="A557" s="37" t="s">
        <v>948</v>
      </c>
      <c r="B557" s="37" t="s">
        <v>949</v>
      </c>
      <c r="C557" s="74" t="s">
        <v>892</v>
      </c>
      <c r="D557" s="74" t="s">
        <v>195</v>
      </c>
      <c r="E557" s="74" t="s">
        <v>228</v>
      </c>
      <c r="F557" s="67" t="s">
        <v>230</v>
      </c>
      <c r="G557" s="67" t="s">
        <v>1052</v>
      </c>
      <c r="H557" s="37">
        <f t="shared" si="8"/>
        <v>554</v>
      </c>
      <c r="I557" s="37"/>
    </row>
    <row r="558" spans="1:9">
      <c r="A558" s="37" t="s">
        <v>950</v>
      </c>
      <c r="B558" s="37" t="s">
        <v>951</v>
      </c>
      <c r="C558" s="74" t="s">
        <v>892</v>
      </c>
      <c r="D558" s="74" t="s">
        <v>195</v>
      </c>
      <c r="E558" s="74" t="s">
        <v>228</v>
      </c>
      <c r="F558" s="67" t="s">
        <v>230</v>
      </c>
      <c r="G558" s="67" t="s">
        <v>1052</v>
      </c>
      <c r="H558" s="37">
        <f t="shared" si="8"/>
        <v>555</v>
      </c>
      <c r="I558" s="37"/>
    </row>
    <row r="559" spans="1:9">
      <c r="A559" s="37" t="s">
        <v>3012</v>
      </c>
      <c r="B559" s="37" t="s">
        <v>610</v>
      </c>
      <c r="C559" s="74">
        <v>32</v>
      </c>
      <c r="D559" s="74">
        <v>32</v>
      </c>
      <c r="E559" s="74">
        <v>360</v>
      </c>
      <c r="F559" s="67" t="s">
        <v>230</v>
      </c>
      <c r="G559" s="67" t="s">
        <v>1052</v>
      </c>
      <c r="H559" s="37">
        <f t="shared" si="8"/>
        <v>556</v>
      </c>
      <c r="I559" s="37" t="s">
        <v>2970</v>
      </c>
    </row>
    <row r="560" spans="1:9">
      <c r="A560" s="37" t="s">
        <v>3013</v>
      </c>
      <c r="B560" s="37" t="s">
        <v>611</v>
      </c>
      <c r="C560" s="74">
        <v>0</v>
      </c>
      <c r="D560" s="74">
        <v>0</v>
      </c>
      <c r="E560" s="74">
        <v>360</v>
      </c>
      <c r="F560" s="67" t="s">
        <v>230</v>
      </c>
      <c r="G560" s="67" t="s">
        <v>1052</v>
      </c>
      <c r="H560" s="37">
        <f t="shared" si="8"/>
        <v>557</v>
      </c>
      <c r="I560" s="37" t="s">
        <v>2970</v>
      </c>
    </row>
    <row r="561" spans="1:9">
      <c r="A561" s="37" t="s">
        <v>3014</v>
      </c>
      <c r="B561" s="37" t="s">
        <v>612</v>
      </c>
      <c r="C561" s="74">
        <v>0</v>
      </c>
      <c r="D561" s="74">
        <v>0</v>
      </c>
      <c r="E561" s="74">
        <v>360</v>
      </c>
      <c r="F561" s="67" t="s">
        <v>230</v>
      </c>
      <c r="G561" s="67" t="s">
        <v>1052</v>
      </c>
      <c r="H561" s="37">
        <f t="shared" ref="H561:H624" si="9">ROW()-3</f>
        <v>558</v>
      </c>
      <c r="I561" s="37" t="s">
        <v>2970</v>
      </c>
    </row>
    <row r="562" spans="1:9">
      <c r="A562" s="37" t="s">
        <v>3015</v>
      </c>
      <c r="B562" s="37" t="s">
        <v>613</v>
      </c>
      <c r="C562" s="74">
        <v>0</v>
      </c>
      <c r="D562" s="74">
        <v>0</v>
      </c>
      <c r="E562" s="74">
        <v>360</v>
      </c>
      <c r="F562" s="67" t="s">
        <v>230</v>
      </c>
      <c r="G562" s="67" t="s">
        <v>1052</v>
      </c>
      <c r="H562" s="37">
        <f t="shared" si="9"/>
        <v>559</v>
      </c>
      <c r="I562" s="37" t="s">
        <v>2970</v>
      </c>
    </row>
    <row r="563" spans="1:9">
      <c r="A563" s="37" t="s">
        <v>3016</v>
      </c>
      <c r="B563" s="37" t="s">
        <v>614</v>
      </c>
      <c r="C563" s="74">
        <v>32</v>
      </c>
      <c r="D563" s="74">
        <v>32</v>
      </c>
      <c r="E563" s="74">
        <v>360</v>
      </c>
      <c r="F563" s="67" t="s">
        <v>230</v>
      </c>
      <c r="G563" s="67" t="s">
        <v>1052</v>
      </c>
      <c r="H563" s="37">
        <f t="shared" si="9"/>
        <v>560</v>
      </c>
      <c r="I563" s="37" t="s">
        <v>2970</v>
      </c>
    </row>
    <row r="564" spans="1:9">
      <c r="A564" s="37" t="s">
        <v>3017</v>
      </c>
      <c r="B564" s="37" t="s">
        <v>615</v>
      </c>
      <c r="C564" s="74">
        <v>0</v>
      </c>
      <c r="D564" s="74">
        <v>0</v>
      </c>
      <c r="E564" s="74">
        <v>360</v>
      </c>
      <c r="F564" s="67" t="s">
        <v>230</v>
      </c>
      <c r="G564" s="67" t="s">
        <v>1052</v>
      </c>
      <c r="H564" s="37">
        <f t="shared" si="9"/>
        <v>561</v>
      </c>
      <c r="I564" s="37" t="s">
        <v>2970</v>
      </c>
    </row>
    <row r="565" spans="1:9">
      <c r="A565" s="37" t="s">
        <v>3018</v>
      </c>
      <c r="B565" s="37" t="s">
        <v>616</v>
      </c>
      <c r="C565" s="74">
        <v>0</v>
      </c>
      <c r="D565" s="74">
        <v>0</v>
      </c>
      <c r="E565" s="74">
        <v>360</v>
      </c>
      <c r="F565" s="67" t="s">
        <v>230</v>
      </c>
      <c r="G565" s="67" t="s">
        <v>1052</v>
      </c>
      <c r="H565" s="37">
        <f t="shared" si="9"/>
        <v>562</v>
      </c>
      <c r="I565" s="37" t="s">
        <v>2970</v>
      </c>
    </row>
    <row r="566" spans="1:9">
      <c r="A566" s="37" t="s">
        <v>3019</v>
      </c>
      <c r="B566" s="37" t="s">
        <v>617</v>
      </c>
      <c r="C566" s="74">
        <v>0</v>
      </c>
      <c r="D566" s="74">
        <v>0</v>
      </c>
      <c r="E566" s="74">
        <v>360</v>
      </c>
      <c r="F566" s="67" t="s">
        <v>230</v>
      </c>
      <c r="G566" s="67" t="s">
        <v>1052</v>
      </c>
      <c r="H566" s="37">
        <f t="shared" si="9"/>
        <v>563</v>
      </c>
      <c r="I566" s="37" t="s">
        <v>2970</v>
      </c>
    </row>
    <row r="567" spans="1:9">
      <c r="A567" s="37" t="s">
        <v>641</v>
      </c>
      <c r="B567" s="37" t="s">
        <v>618</v>
      </c>
      <c r="C567" s="74" t="s">
        <v>186</v>
      </c>
      <c r="D567" s="74" t="s">
        <v>186</v>
      </c>
      <c r="E567" s="74" t="s">
        <v>186</v>
      </c>
      <c r="F567" s="67" t="s">
        <v>230</v>
      </c>
      <c r="G567" s="67" t="s">
        <v>1052</v>
      </c>
      <c r="H567" s="37">
        <f t="shared" si="9"/>
        <v>564</v>
      </c>
      <c r="I567" s="37"/>
    </row>
    <row r="568" spans="1:9">
      <c r="A568" s="37" t="s">
        <v>3156</v>
      </c>
      <c r="B568" s="37" t="s">
        <v>3160</v>
      </c>
      <c r="C568" s="74" t="s">
        <v>186</v>
      </c>
      <c r="D568" s="74" t="s">
        <v>186</v>
      </c>
      <c r="E568" s="74" t="s">
        <v>186</v>
      </c>
      <c r="F568" s="67" t="s">
        <v>230</v>
      </c>
      <c r="G568" s="67" t="s">
        <v>1052</v>
      </c>
      <c r="H568" s="37">
        <f t="shared" si="9"/>
        <v>565</v>
      </c>
      <c r="I568" s="37" t="s">
        <v>3131</v>
      </c>
    </row>
    <row r="569" spans="1:9">
      <c r="A569" s="37" t="s">
        <v>3157</v>
      </c>
      <c r="B569" s="37" t="s">
        <v>3161</v>
      </c>
      <c r="C569" s="74" t="s">
        <v>186</v>
      </c>
      <c r="D569" s="74" t="s">
        <v>186</v>
      </c>
      <c r="E569" s="74" t="s">
        <v>186</v>
      </c>
      <c r="F569" s="67" t="s">
        <v>230</v>
      </c>
      <c r="G569" s="67" t="s">
        <v>1052</v>
      </c>
      <c r="H569" s="37">
        <f t="shared" si="9"/>
        <v>566</v>
      </c>
      <c r="I569" s="37" t="s">
        <v>3131</v>
      </c>
    </row>
    <row r="570" spans="1:9">
      <c r="A570" s="37" t="s">
        <v>3158</v>
      </c>
      <c r="B570" s="37" t="s">
        <v>3162</v>
      </c>
      <c r="C570" s="74" t="s">
        <v>186</v>
      </c>
      <c r="D570" s="74" t="s">
        <v>186</v>
      </c>
      <c r="E570" s="74" t="s">
        <v>186</v>
      </c>
      <c r="F570" s="67" t="s">
        <v>230</v>
      </c>
      <c r="G570" s="67" t="s">
        <v>1052</v>
      </c>
      <c r="H570" s="37">
        <f t="shared" si="9"/>
        <v>567</v>
      </c>
      <c r="I570" s="37" t="s">
        <v>3131</v>
      </c>
    </row>
    <row r="571" spans="1:9">
      <c r="A571" s="37" t="s">
        <v>3159</v>
      </c>
      <c r="B571" s="37" t="s">
        <v>3163</v>
      </c>
      <c r="C571" s="74" t="s">
        <v>186</v>
      </c>
      <c r="D571" s="74" t="s">
        <v>186</v>
      </c>
      <c r="E571" s="74" t="s">
        <v>186</v>
      </c>
      <c r="F571" s="67" t="s">
        <v>230</v>
      </c>
      <c r="G571" s="67" t="s">
        <v>1052</v>
      </c>
      <c r="H571" s="37">
        <f t="shared" si="9"/>
        <v>568</v>
      </c>
      <c r="I571" s="37" t="s">
        <v>3131</v>
      </c>
    </row>
    <row r="572" spans="1:9">
      <c r="A572" s="37" t="s">
        <v>642</v>
      </c>
      <c r="B572" s="37" t="s">
        <v>665</v>
      </c>
      <c r="C572" s="74">
        <v>0</v>
      </c>
      <c r="D572" s="74" t="s">
        <v>195</v>
      </c>
      <c r="E572" s="74" t="s">
        <v>228</v>
      </c>
      <c r="F572" s="67" t="s">
        <v>230</v>
      </c>
      <c r="G572" s="67" t="s">
        <v>1052</v>
      </c>
      <c r="H572" s="37">
        <f t="shared" si="9"/>
        <v>569</v>
      </c>
      <c r="I572" s="37"/>
    </row>
    <row r="573" spans="1:9">
      <c r="A573" s="37" t="s">
        <v>643</v>
      </c>
      <c r="B573" s="37" t="s">
        <v>666</v>
      </c>
      <c r="C573" s="74">
        <v>8</v>
      </c>
      <c r="D573" s="74">
        <v>5</v>
      </c>
      <c r="E573" s="74">
        <v>32</v>
      </c>
      <c r="F573" s="67" t="s">
        <v>230</v>
      </c>
      <c r="G573" s="67" t="s">
        <v>1052</v>
      </c>
      <c r="H573" s="37">
        <f t="shared" si="9"/>
        <v>570</v>
      </c>
      <c r="I573" s="37"/>
    </row>
    <row r="574" spans="1:9">
      <c r="A574" s="37" t="s">
        <v>644</v>
      </c>
      <c r="B574" s="37" t="s">
        <v>667</v>
      </c>
      <c r="C574" s="74">
        <v>7</v>
      </c>
      <c r="D574" s="74">
        <v>4</v>
      </c>
      <c r="E574" s="74">
        <v>32</v>
      </c>
      <c r="F574" s="67" t="s">
        <v>230</v>
      </c>
      <c r="G574" s="67" t="s">
        <v>1052</v>
      </c>
      <c r="H574" s="37">
        <f t="shared" si="9"/>
        <v>571</v>
      </c>
      <c r="I574" s="37"/>
    </row>
    <row r="575" spans="1:9">
      <c r="A575" s="37" t="s">
        <v>645</v>
      </c>
      <c r="B575" s="37" t="s">
        <v>668</v>
      </c>
      <c r="C575" s="74">
        <v>0</v>
      </c>
      <c r="D575" s="74">
        <v>0</v>
      </c>
      <c r="E575" s="74">
        <v>63</v>
      </c>
      <c r="F575" s="67" t="s">
        <v>230</v>
      </c>
      <c r="G575" s="67" t="s">
        <v>1052</v>
      </c>
      <c r="H575" s="37">
        <f t="shared" si="9"/>
        <v>572</v>
      </c>
      <c r="I575" s="37"/>
    </row>
    <row r="576" spans="1:9">
      <c r="A576" s="37" t="s">
        <v>646</v>
      </c>
      <c r="B576" s="37" t="s">
        <v>669</v>
      </c>
      <c r="C576" s="74">
        <v>2</v>
      </c>
      <c r="D576" s="74">
        <v>0</v>
      </c>
      <c r="E576" s="74">
        <v>2</v>
      </c>
      <c r="F576" s="67" t="s">
        <v>230</v>
      </c>
      <c r="G576" s="67" t="s">
        <v>1052</v>
      </c>
      <c r="H576" s="37">
        <f t="shared" si="9"/>
        <v>573</v>
      </c>
      <c r="I576" s="37"/>
    </row>
    <row r="577" spans="1:9">
      <c r="A577" s="37" t="s">
        <v>647</v>
      </c>
      <c r="B577" s="37" t="s">
        <v>670</v>
      </c>
      <c r="C577" s="74">
        <v>1</v>
      </c>
      <c r="D577" s="74">
        <v>1</v>
      </c>
      <c r="E577" s="74">
        <v>125</v>
      </c>
      <c r="F577" s="67" t="s">
        <v>230</v>
      </c>
      <c r="G577" s="67" t="s">
        <v>1052</v>
      </c>
      <c r="H577" s="37">
        <f t="shared" si="9"/>
        <v>574</v>
      </c>
      <c r="I577" s="37"/>
    </row>
    <row r="578" spans="1:9">
      <c r="A578" s="37" t="s">
        <v>648</v>
      </c>
      <c r="B578" s="37" t="s">
        <v>671</v>
      </c>
      <c r="C578" s="74">
        <v>0</v>
      </c>
      <c r="D578" s="74">
        <v>0</v>
      </c>
      <c r="E578" s="74">
        <v>4</v>
      </c>
      <c r="F578" s="67" t="s">
        <v>230</v>
      </c>
      <c r="G578" s="67" t="s">
        <v>1052</v>
      </c>
      <c r="H578" s="37">
        <f t="shared" si="9"/>
        <v>575</v>
      </c>
      <c r="I578" s="37"/>
    </row>
    <row r="579" spans="1:9">
      <c r="A579" s="37" t="s">
        <v>649</v>
      </c>
      <c r="B579" s="37" t="s">
        <v>672</v>
      </c>
      <c r="C579" s="74">
        <v>0</v>
      </c>
      <c r="D579" s="74">
        <v>0</v>
      </c>
      <c r="E579" s="74">
        <v>4</v>
      </c>
      <c r="F579" s="67" t="s">
        <v>230</v>
      </c>
      <c r="G579" s="67" t="s">
        <v>1052</v>
      </c>
      <c r="H579" s="37">
        <f t="shared" si="9"/>
        <v>576</v>
      </c>
      <c r="I579" s="37"/>
    </row>
    <row r="580" spans="1:9">
      <c r="A580" s="37" t="s">
        <v>650</v>
      </c>
      <c r="B580" s="37" t="s">
        <v>673</v>
      </c>
      <c r="C580" s="74">
        <v>4</v>
      </c>
      <c r="D580" s="74">
        <v>0</v>
      </c>
      <c r="E580" s="74">
        <v>4</v>
      </c>
      <c r="F580" s="67" t="s">
        <v>230</v>
      </c>
      <c r="G580" s="67" t="s">
        <v>1052</v>
      </c>
      <c r="H580" s="37">
        <f t="shared" si="9"/>
        <v>577</v>
      </c>
      <c r="I580" s="37"/>
    </row>
    <row r="581" spans="1:9">
      <c r="A581" s="37" t="s">
        <v>651</v>
      </c>
      <c r="B581" s="37" t="s">
        <v>674</v>
      </c>
      <c r="C581" s="74">
        <v>1</v>
      </c>
      <c r="D581" s="74">
        <v>1</v>
      </c>
      <c r="E581" s="74">
        <v>63</v>
      </c>
      <c r="F581" s="67" t="s">
        <v>230</v>
      </c>
      <c r="G581" s="67" t="s">
        <v>1052</v>
      </c>
      <c r="H581" s="37">
        <f t="shared" si="9"/>
        <v>578</v>
      </c>
      <c r="I581" s="37"/>
    </row>
    <row r="582" spans="1:9">
      <c r="A582" s="37" t="s">
        <v>652</v>
      </c>
      <c r="B582" s="37" t="s">
        <v>675</v>
      </c>
      <c r="C582" s="74">
        <v>4</v>
      </c>
      <c r="D582" s="74">
        <v>1</v>
      </c>
      <c r="E582" s="74">
        <v>4</v>
      </c>
      <c r="F582" s="67" t="s">
        <v>230</v>
      </c>
      <c r="G582" s="67" t="s">
        <v>1052</v>
      </c>
      <c r="H582" s="37">
        <f t="shared" si="9"/>
        <v>579</v>
      </c>
      <c r="I582" s="37"/>
    </row>
    <row r="583" spans="1:9">
      <c r="A583" s="37" t="s">
        <v>653</v>
      </c>
      <c r="B583" s="37" t="s">
        <v>676</v>
      </c>
      <c r="C583" s="74">
        <v>1</v>
      </c>
      <c r="D583" s="74">
        <v>1</v>
      </c>
      <c r="E583" s="74">
        <v>2</v>
      </c>
      <c r="F583" s="67" t="s">
        <v>230</v>
      </c>
      <c r="G583" s="67" t="s">
        <v>1052</v>
      </c>
      <c r="H583" s="37">
        <f t="shared" si="9"/>
        <v>580</v>
      </c>
      <c r="I583" s="37"/>
    </row>
    <row r="584" spans="1:9">
      <c r="A584" s="37" t="s">
        <v>654</v>
      </c>
      <c r="B584" s="37" t="s">
        <v>677</v>
      </c>
      <c r="C584" s="74">
        <v>0</v>
      </c>
      <c r="D584" s="74">
        <v>0</v>
      </c>
      <c r="E584" s="74">
        <v>3</v>
      </c>
      <c r="F584" s="67" t="s">
        <v>230</v>
      </c>
      <c r="G584" s="67" t="s">
        <v>1052</v>
      </c>
      <c r="H584" s="37">
        <f t="shared" si="9"/>
        <v>581</v>
      </c>
      <c r="I584" s="37"/>
    </row>
    <row r="585" spans="1:9">
      <c r="A585" s="37" t="s">
        <v>655</v>
      </c>
      <c r="B585" s="37" t="s">
        <v>678</v>
      </c>
      <c r="C585" s="74" t="s">
        <v>863</v>
      </c>
      <c r="D585" s="74" t="s">
        <v>195</v>
      </c>
      <c r="E585" s="74" t="s">
        <v>228</v>
      </c>
      <c r="F585" s="67" t="s">
        <v>230</v>
      </c>
      <c r="G585" s="67" t="s">
        <v>1052</v>
      </c>
      <c r="H585" s="37">
        <f t="shared" si="9"/>
        <v>582</v>
      </c>
      <c r="I585" s="37"/>
    </row>
    <row r="586" spans="1:9">
      <c r="A586" s="37" t="s">
        <v>656</v>
      </c>
      <c r="B586" s="37" t="s">
        <v>679</v>
      </c>
      <c r="C586" s="74" t="s">
        <v>196</v>
      </c>
      <c r="D586" s="74" t="s">
        <v>195</v>
      </c>
      <c r="E586" s="74" t="s">
        <v>228</v>
      </c>
      <c r="F586" s="67" t="s">
        <v>230</v>
      </c>
      <c r="G586" s="67" t="s">
        <v>1052</v>
      </c>
      <c r="H586" s="37">
        <f t="shared" si="9"/>
        <v>583</v>
      </c>
      <c r="I586" s="37"/>
    </row>
    <row r="587" spans="1:9">
      <c r="A587" s="37" t="s">
        <v>657</v>
      </c>
      <c r="B587" s="37" t="s">
        <v>680</v>
      </c>
      <c r="C587" s="74" t="s">
        <v>864</v>
      </c>
      <c r="D587" s="74" t="s">
        <v>195</v>
      </c>
      <c r="E587" s="74" t="s">
        <v>228</v>
      </c>
      <c r="F587" s="67" t="s">
        <v>230</v>
      </c>
      <c r="G587" s="67" t="s">
        <v>1052</v>
      </c>
      <c r="H587" s="37">
        <f t="shared" si="9"/>
        <v>584</v>
      </c>
      <c r="I587" s="37"/>
    </row>
    <row r="588" spans="1:9">
      <c r="A588" s="37" t="s">
        <v>952</v>
      </c>
      <c r="B588" s="37" t="s">
        <v>953</v>
      </c>
      <c r="C588" s="74">
        <v>0</v>
      </c>
      <c r="D588" s="74">
        <v>0</v>
      </c>
      <c r="E588" s="74">
        <v>1</v>
      </c>
      <c r="F588" s="67" t="s">
        <v>230</v>
      </c>
      <c r="G588" s="67" t="s">
        <v>1052</v>
      </c>
      <c r="H588" s="37">
        <f t="shared" si="9"/>
        <v>585</v>
      </c>
      <c r="I588" s="37"/>
    </row>
    <row r="589" spans="1:9">
      <c r="A589" s="37" t="s">
        <v>658</v>
      </c>
      <c r="B589" s="37" t="s">
        <v>681</v>
      </c>
      <c r="C589" s="74">
        <v>1</v>
      </c>
      <c r="D589" s="74">
        <v>1</v>
      </c>
      <c r="E589" s="74">
        <v>5</v>
      </c>
      <c r="F589" s="67" t="s">
        <v>230</v>
      </c>
      <c r="G589" s="67" t="s">
        <v>1052</v>
      </c>
      <c r="H589" s="37">
        <f t="shared" si="9"/>
        <v>586</v>
      </c>
      <c r="I589" s="37"/>
    </row>
    <row r="590" spans="1:9">
      <c r="A590" s="37" t="s">
        <v>659</v>
      </c>
      <c r="B590" s="37" t="s">
        <v>682</v>
      </c>
      <c r="C590" s="74">
        <v>32</v>
      </c>
      <c r="D590" s="80">
        <v>0</v>
      </c>
      <c r="E590" s="74">
        <v>504</v>
      </c>
      <c r="F590" s="67" t="s">
        <v>230</v>
      </c>
      <c r="G590" s="67" t="s">
        <v>1052</v>
      </c>
      <c r="H590" s="37">
        <f t="shared" si="9"/>
        <v>587</v>
      </c>
      <c r="I590" s="37" t="s">
        <v>2962</v>
      </c>
    </row>
    <row r="591" spans="1:9">
      <c r="A591" s="37" t="s">
        <v>660</v>
      </c>
      <c r="B591" s="37" t="s">
        <v>683</v>
      </c>
      <c r="C591" s="74">
        <v>32</v>
      </c>
      <c r="D591" s="80">
        <v>0</v>
      </c>
      <c r="E591" s="74">
        <v>504</v>
      </c>
      <c r="F591" s="67" t="s">
        <v>230</v>
      </c>
      <c r="G591" s="67" t="s">
        <v>1052</v>
      </c>
      <c r="H591" s="37">
        <f t="shared" si="9"/>
        <v>588</v>
      </c>
      <c r="I591" s="37" t="s">
        <v>2962</v>
      </c>
    </row>
    <row r="592" spans="1:9">
      <c r="A592" s="37" t="s">
        <v>954</v>
      </c>
      <c r="B592" s="37" t="s">
        <v>955</v>
      </c>
      <c r="C592" s="74">
        <v>0</v>
      </c>
      <c r="D592" s="74">
        <v>0</v>
      </c>
      <c r="E592" s="74">
        <v>1</v>
      </c>
      <c r="F592" s="67" t="s">
        <v>230</v>
      </c>
      <c r="G592" s="67" t="s">
        <v>1052</v>
      </c>
      <c r="H592" s="37">
        <f t="shared" si="9"/>
        <v>589</v>
      </c>
      <c r="I592" s="37"/>
    </row>
    <row r="593" spans="1:9">
      <c r="A593" s="37" t="s">
        <v>956</v>
      </c>
      <c r="B593" s="37" t="s">
        <v>957</v>
      </c>
      <c r="C593" s="74">
        <v>0</v>
      </c>
      <c r="D593" s="74">
        <v>0</v>
      </c>
      <c r="E593" s="74">
        <v>1</v>
      </c>
      <c r="F593" s="67" t="s">
        <v>230</v>
      </c>
      <c r="G593" s="67" t="s">
        <v>1052</v>
      </c>
      <c r="H593" s="37">
        <f t="shared" si="9"/>
        <v>590</v>
      </c>
      <c r="I593" s="37"/>
    </row>
    <row r="594" spans="1:9">
      <c r="A594" s="37" t="s">
        <v>958</v>
      </c>
      <c r="B594" s="37" t="s">
        <v>959</v>
      </c>
      <c r="C594" s="74">
        <v>0</v>
      </c>
      <c r="D594" s="74">
        <v>0</v>
      </c>
      <c r="E594" s="74">
        <v>1</v>
      </c>
      <c r="F594" s="67" t="s">
        <v>230</v>
      </c>
      <c r="G594" s="67" t="s">
        <v>1052</v>
      </c>
      <c r="H594" s="37">
        <f t="shared" si="9"/>
        <v>591</v>
      </c>
      <c r="I594" s="37"/>
    </row>
    <row r="595" spans="1:9">
      <c r="A595" s="37" t="s">
        <v>661</v>
      </c>
      <c r="B595" s="37" t="s">
        <v>684</v>
      </c>
      <c r="C595" s="74">
        <v>32</v>
      </c>
      <c r="D595" s="74">
        <v>5</v>
      </c>
      <c r="E595" s="74">
        <v>256</v>
      </c>
      <c r="F595" s="67" t="s">
        <v>230</v>
      </c>
      <c r="G595" s="67" t="s">
        <v>1052</v>
      </c>
      <c r="H595" s="37">
        <f t="shared" si="9"/>
        <v>592</v>
      </c>
      <c r="I595" s="37"/>
    </row>
    <row r="596" spans="1:9">
      <c r="A596" s="37" t="s">
        <v>662</v>
      </c>
      <c r="B596" s="37" t="s">
        <v>685</v>
      </c>
      <c r="C596" s="74">
        <v>32</v>
      </c>
      <c r="D596" s="74">
        <v>4</v>
      </c>
      <c r="E596" s="74">
        <v>256</v>
      </c>
      <c r="F596" s="67" t="s">
        <v>230</v>
      </c>
      <c r="G596" s="67" t="s">
        <v>1052</v>
      </c>
      <c r="H596" s="37">
        <f t="shared" si="9"/>
        <v>593</v>
      </c>
      <c r="I596" s="37"/>
    </row>
    <row r="597" spans="1:9">
      <c r="A597" s="37" t="s">
        <v>663</v>
      </c>
      <c r="B597" s="37" t="s">
        <v>686</v>
      </c>
      <c r="C597" s="74">
        <v>0</v>
      </c>
      <c r="D597" s="74">
        <v>0</v>
      </c>
      <c r="E597" s="74">
        <v>65535</v>
      </c>
      <c r="F597" s="67" t="s">
        <v>230</v>
      </c>
      <c r="G597" s="67" t="s">
        <v>1052</v>
      </c>
      <c r="H597" s="37">
        <f t="shared" si="9"/>
        <v>594</v>
      </c>
      <c r="I597" s="37"/>
    </row>
    <row r="598" spans="1:9">
      <c r="A598" s="37" t="s">
        <v>1012</v>
      </c>
      <c r="B598" s="37" t="s">
        <v>1013</v>
      </c>
      <c r="C598" s="74">
        <v>1</v>
      </c>
      <c r="D598" s="74">
        <v>0</v>
      </c>
      <c r="E598" s="74">
        <v>2147483647</v>
      </c>
      <c r="F598" s="67" t="s">
        <v>230</v>
      </c>
      <c r="G598" s="67" t="s">
        <v>1052</v>
      </c>
      <c r="H598" s="37">
        <f t="shared" si="9"/>
        <v>595</v>
      </c>
      <c r="I598" s="37"/>
    </row>
    <row r="599" spans="1:9">
      <c r="A599" s="37" t="s">
        <v>960</v>
      </c>
      <c r="B599" s="37" t="s">
        <v>961</v>
      </c>
      <c r="C599" s="74" t="s">
        <v>892</v>
      </c>
      <c r="D599" s="74" t="s">
        <v>195</v>
      </c>
      <c r="E599" s="74" t="s">
        <v>228</v>
      </c>
      <c r="F599" s="67" t="s">
        <v>230</v>
      </c>
      <c r="G599" s="67" t="s">
        <v>1052</v>
      </c>
      <c r="H599" s="37">
        <f t="shared" si="9"/>
        <v>596</v>
      </c>
      <c r="I599" s="37"/>
    </row>
    <row r="600" spans="1:9">
      <c r="A600" s="37" t="s">
        <v>962</v>
      </c>
      <c r="B600" s="37" t="s">
        <v>963</v>
      </c>
      <c r="C600" s="74" t="s">
        <v>892</v>
      </c>
      <c r="D600" s="74" t="s">
        <v>195</v>
      </c>
      <c r="E600" s="74" t="s">
        <v>228</v>
      </c>
      <c r="F600" s="67" t="s">
        <v>230</v>
      </c>
      <c r="G600" s="67" t="s">
        <v>1052</v>
      </c>
      <c r="H600" s="37">
        <f t="shared" si="9"/>
        <v>597</v>
      </c>
      <c r="I600" s="37"/>
    </row>
    <row r="601" spans="1:9">
      <c r="A601" s="37" t="s">
        <v>964</v>
      </c>
      <c r="B601" s="37" t="s">
        <v>965</v>
      </c>
      <c r="C601" s="74" t="s">
        <v>892</v>
      </c>
      <c r="D601" s="74" t="s">
        <v>195</v>
      </c>
      <c r="E601" s="74" t="s">
        <v>228</v>
      </c>
      <c r="F601" s="67" t="s">
        <v>230</v>
      </c>
      <c r="G601" s="67" t="s">
        <v>1052</v>
      </c>
      <c r="H601" s="37">
        <f t="shared" si="9"/>
        <v>598</v>
      </c>
      <c r="I601" s="37"/>
    </row>
    <row r="602" spans="1:9">
      <c r="A602" s="37" t="s">
        <v>3020</v>
      </c>
      <c r="B602" s="37" t="s">
        <v>687</v>
      </c>
      <c r="C602" s="74">
        <v>32</v>
      </c>
      <c r="D602" s="74">
        <v>32</v>
      </c>
      <c r="E602" s="74">
        <v>360</v>
      </c>
      <c r="F602" s="67" t="s">
        <v>230</v>
      </c>
      <c r="G602" s="67" t="s">
        <v>1052</v>
      </c>
      <c r="H602" s="37">
        <f t="shared" si="9"/>
        <v>599</v>
      </c>
      <c r="I602" s="37" t="s">
        <v>2970</v>
      </c>
    </row>
    <row r="603" spans="1:9">
      <c r="A603" s="37" t="s">
        <v>3021</v>
      </c>
      <c r="B603" s="37" t="s">
        <v>688</v>
      </c>
      <c r="C603" s="74">
        <v>0</v>
      </c>
      <c r="D603" s="74">
        <v>0</v>
      </c>
      <c r="E603" s="74">
        <v>360</v>
      </c>
      <c r="F603" s="67" t="s">
        <v>230</v>
      </c>
      <c r="G603" s="67" t="s">
        <v>1052</v>
      </c>
      <c r="H603" s="37">
        <f t="shared" si="9"/>
        <v>600</v>
      </c>
      <c r="I603" s="37" t="s">
        <v>2970</v>
      </c>
    </row>
    <row r="604" spans="1:9">
      <c r="A604" s="37" t="s">
        <v>3022</v>
      </c>
      <c r="B604" s="37" t="s">
        <v>689</v>
      </c>
      <c r="C604" s="74">
        <v>0</v>
      </c>
      <c r="D604" s="74">
        <v>0</v>
      </c>
      <c r="E604" s="74">
        <v>360</v>
      </c>
      <c r="F604" s="67" t="s">
        <v>230</v>
      </c>
      <c r="G604" s="67" t="s">
        <v>1052</v>
      </c>
      <c r="H604" s="37">
        <f t="shared" si="9"/>
        <v>601</v>
      </c>
      <c r="I604" s="37" t="s">
        <v>2970</v>
      </c>
    </row>
    <row r="605" spans="1:9">
      <c r="A605" s="37" t="s">
        <v>3023</v>
      </c>
      <c r="B605" s="37" t="s">
        <v>690</v>
      </c>
      <c r="C605" s="74">
        <v>0</v>
      </c>
      <c r="D605" s="74">
        <v>0</v>
      </c>
      <c r="E605" s="74">
        <v>360</v>
      </c>
      <c r="F605" s="67" t="s">
        <v>230</v>
      </c>
      <c r="G605" s="67" t="s">
        <v>1052</v>
      </c>
      <c r="H605" s="37">
        <f t="shared" si="9"/>
        <v>602</v>
      </c>
      <c r="I605" s="37" t="s">
        <v>2970</v>
      </c>
    </row>
    <row r="606" spans="1:9">
      <c r="A606" s="37" t="s">
        <v>3024</v>
      </c>
      <c r="B606" s="37" t="s">
        <v>691</v>
      </c>
      <c r="C606" s="74">
        <v>32</v>
      </c>
      <c r="D606" s="74">
        <v>32</v>
      </c>
      <c r="E606" s="74">
        <v>360</v>
      </c>
      <c r="F606" s="67" t="s">
        <v>230</v>
      </c>
      <c r="G606" s="67" t="s">
        <v>1052</v>
      </c>
      <c r="H606" s="37">
        <f t="shared" si="9"/>
        <v>603</v>
      </c>
      <c r="I606" s="37" t="s">
        <v>2970</v>
      </c>
    </row>
    <row r="607" spans="1:9">
      <c r="A607" s="37" t="s">
        <v>3025</v>
      </c>
      <c r="B607" s="37" t="s">
        <v>692</v>
      </c>
      <c r="C607" s="74">
        <v>0</v>
      </c>
      <c r="D607" s="74">
        <v>0</v>
      </c>
      <c r="E607" s="74">
        <v>360</v>
      </c>
      <c r="F607" s="67" t="s">
        <v>230</v>
      </c>
      <c r="G607" s="67" t="s">
        <v>1052</v>
      </c>
      <c r="H607" s="37">
        <f t="shared" si="9"/>
        <v>604</v>
      </c>
      <c r="I607" s="37" t="s">
        <v>2970</v>
      </c>
    </row>
    <row r="608" spans="1:9">
      <c r="A608" s="37" t="s">
        <v>3026</v>
      </c>
      <c r="B608" s="37" t="s">
        <v>693</v>
      </c>
      <c r="C608" s="74">
        <v>0</v>
      </c>
      <c r="D608" s="74">
        <v>0</v>
      </c>
      <c r="E608" s="74">
        <v>360</v>
      </c>
      <c r="F608" s="67" t="s">
        <v>230</v>
      </c>
      <c r="G608" s="67" t="s">
        <v>1052</v>
      </c>
      <c r="H608" s="37">
        <f t="shared" si="9"/>
        <v>605</v>
      </c>
      <c r="I608" s="37" t="s">
        <v>2970</v>
      </c>
    </row>
    <row r="609" spans="1:9">
      <c r="A609" s="37" t="s">
        <v>3027</v>
      </c>
      <c r="B609" s="37" t="s">
        <v>694</v>
      </c>
      <c r="C609" s="74">
        <v>0</v>
      </c>
      <c r="D609" s="74">
        <v>0</v>
      </c>
      <c r="E609" s="74">
        <v>360</v>
      </c>
      <c r="F609" s="67" t="s">
        <v>230</v>
      </c>
      <c r="G609" s="67" t="s">
        <v>1052</v>
      </c>
      <c r="H609" s="37">
        <f t="shared" si="9"/>
        <v>606</v>
      </c>
      <c r="I609" s="37" t="s">
        <v>2970</v>
      </c>
    </row>
    <row r="610" spans="1:9">
      <c r="A610" s="37" t="s">
        <v>664</v>
      </c>
      <c r="B610" s="37" t="s">
        <v>695</v>
      </c>
      <c r="C610" s="74" t="s">
        <v>186</v>
      </c>
      <c r="D610" s="74" t="s">
        <v>186</v>
      </c>
      <c r="E610" s="74" t="s">
        <v>186</v>
      </c>
      <c r="F610" s="67" t="s">
        <v>230</v>
      </c>
      <c r="G610" s="67" t="s">
        <v>1052</v>
      </c>
      <c r="H610" s="37">
        <f t="shared" si="9"/>
        <v>607</v>
      </c>
      <c r="I610" s="37"/>
    </row>
    <row r="611" spans="1:9">
      <c r="A611" s="37" t="s">
        <v>3164</v>
      </c>
      <c r="B611" s="37" t="s">
        <v>3171</v>
      </c>
      <c r="C611" s="74" t="s">
        <v>186</v>
      </c>
      <c r="D611" s="74" t="s">
        <v>186</v>
      </c>
      <c r="E611" s="74" t="s">
        <v>186</v>
      </c>
      <c r="F611" s="67" t="s">
        <v>230</v>
      </c>
      <c r="G611" s="67" t="s">
        <v>1052</v>
      </c>
      <c r="H611" s="37">
        <f t="shared" si="9"/>
        <v>608</v>
      </c>
      <c r="I611" s="37" t="s">
        <v>3131</v>
      </c>
    </row>
    <row r="612" spans="1:9">
      <c r="A612" s="37" t="s">
        <v>3165</v>
      </c>
      <c r="B612" s="37" t="s">
        <v>3170</v>
      </c>
      <c r="C612" s="74" t="s">
        <v>186</v>
      </c>
      <c r="D612" s="74" t="s">
        <v>186</v>
      </c>
      <c r="E612" s="74" t="s">
        <v>186</v>
      </c>
      <c r="F612" s="67" t="s">
        <v>230</v>
      </c>
      <c r="G612" s="67" t="s">
        <v>1052</v>
      </c>
      <c r="H612" s="37">
        <f t="shared" si="9"/>
        <v>609</v>
      </c>
      <c r="I612" s="37" t="s">
        <v>3131</v>
      </c>
    </row>
    <row r="613" spans="1:9">
      <c r="A613" s="37" t="s">
        <v>3166</v>
      </c>
      <c r="B613" s="37" t="s">
        <v>3169</v>
      </c>
      <c r="C613" s="74" t="s">
        <v>186</v>
      </c>
      <c r="D613" s="74" t="s">
        <v>186</v>
      </c>
      <c r="E613" s="74" t="s">
        <v>186</v>
      </c>
      <c r="F613" s="67" t="s">
        <v>230</v>
      </c>
      <c r="G613" s="67" t="s">
        <v>1052</v>
      </c>
      <c r="H613" s="37">
        <f t="shared" si="9"/>
        <v>610</v>
      </c>
      <c r="I613" s="37" t="s">
        <v>3131</v>
      </c>
    </row>
    <row r="614" spans="1:9">
      <c r="A614" s="37" t="s">
        <v>3167</v>
      </c>
      <c r="B614" s="37" t="s">
        <v>3168</v>
      </c>
      <c r="C614" s="74" t="s">
        <v>186</v>
      </c>
      <c r="D614" s="74" t="s">
        <v>186</v>
      </c>
      <c r="E614" s="74" t="s">
        <v>186</v>
      </c>
      <c r="F614" s="67" t="s">
        <v>230</v>
      </c>
      <c r="G614" s="67" t="s">
        <v>1052</v>
      </c>
      <c r="H614" s="37">
        <f t="shared" si="9"/>
        <v>611</v>
      </c>
      <c r="I614" s="37" t="s">
        <v>3131</v>
      </c>
    </row>
    <row r="615" spans="1:9">
      <c r="A615" s="37" t="s">
        <v>727</v>
      </c>
      <c r="B615" s="37" t="s">
        <v>696</v>
      </c>
      <c r="C615" s="74">
        <v>0</v>
      </c>
      <c r="D615" s="74" t="s">
        <v>195</v>
      </c>
      <c r="E615" s="74" t="s">
        <v>228</v>
      </c>
      <c r="F615" s="67" t="s">
        <v>230</v>
      </c>
      <c r="G615" s="67" t="s">
        <v>1052</v>
      </c>
      <c r="H615" s="37">
        <f t="shared" si="9"/>
        <v>612</v>
      </c>
      <c r="I615" s="37"/>
    </row>
    <row r="616" spans="1:9">
      <c r="A616" s="37" t="s">
        <v>728</v>
      </c>
      <c r="B616" s="37" t="s">
        <v>697</v>
      </c>
      <c r="C616" s="74">
        <v>8</v>
      </c>
      <c r="D616" s="74">
        <v>5</v>
      </c>
      <c r="E616" s="74">
        <v>32</v>
      </c>
      <c r="F616" s="67" t="s">
        <v>230</v>
      </c>
      <c r="G616" s="67" t="s">
        <v>1052</v>
      </c>
      <c r="H616" s="37">
        <f t="shared" si="9"/>
        <v>613</v>
      </c>
      <c r="I616" s="37"/>
    </row>
    <row r="617" spans="1:9">
      <c r="A617" s="37" t="s">
        <v>729</v>
      </c>
      <c r="B617" s="37" t="s">
        <v>698</v>
      </c>
      <c r="C617" s="74">
        <v>7</v>
      </c>
      <c r="D617" s="74">
        <v>4</v>
      </c>
      <c r="E617" s="74">
        <v>32</v>
      </c>
      <c r="F617" s="67" t="s">
        <v>230</v>
      </c>
      <c r="G617" s="67" t="s">
        <v>1052</v>
      </c>
      <c r="H617" s="37">
        <f t="shared" si="9"/>
        <v>614</v>
      </c>
      <c r="I617" s="37"/>
    </row>
    <row r="618" spans="1:9">
      <c r="A618" s="37" t="s">
        <v>730</v>
      </c>
      <c r="B618" s="37" t="s">
        <v>699</v>
      </c>
      <c r="C618" s="74">
        <v>0</v>
      </c>
      <c r="D618" s="74">
        <v>0</v>
      </c>
      <c r="E618" s="74">
        <v>63</v>
      </c>
      <c r="F618" s="67" t="s">
        <v>230</v>
      </c>
      <c r="G618" s="67" t="s">
        <v>1052</v>
      </c>
      <c r="H618" s="37">
        <f t="shared" si="9"/>
        <v>615</v>
      </c>
      <c r="I618" s="37"/>
    </row>
    <row r="619" spans="1:9">
      <c r="A619" s="37" t="s">
        <v>731</v>
      </c>
      <c r="B619" s="37" t="s">
        <v>700</v>
      </c>
      <c r="C619" s="74">
        <v>2</v>
      </c>
      <c r="D619" s="74">
        <v>0</v>
      </c>
      <c r="E619" s="74">
        <v>2</v>
      </c>
      <c r="F619" s="67" t="s">
        <v>230</v>
      </c>
      <c r="G619" s="67" t="s">
        <v>1052</v>
      </c>
      <c r="H619" s="37">
        <f t="shared" si="9"/>
        <v>616</v>
      </c>
      <c r="I619" s="37"/>
    </row>
    <row r="620" spans="1:9">
      <c r="A620" s="37" t="s">
        <v>732</v>
      </c>
      <c r="B620" s="37" t="s">
        <v>701</v>
      </c>
      <c r="C620" s="74">
        <v>1</v>
      </c>
      <c r="D620" s="74">
        <v>1</v>
      </c>
      <c r="E620" s="74">
        <v>125</v>
      </c>
      <c r="F620" s="67" t="s">
        <v>230</v>
      </c>
      <c r="G620" s="67" t="s">
        <v>1052</v>
      </c>
      <c r="H620" s="37">
        <f t="shared" si="9"/>
        <v>617</v>
      </c>
      <c r="I620" s="37"/>
    </row>
    <row r="621" spans="1:9">
      <c r="A621" s="37" t="s">
        <v>733</v>
      </c>
      <c r="B621" s="37" t="s">
        <v>702</v>
      </c>
      <c r="C621" s="74">
        <v>0</v>
      </c>
      <c r="D621" s="74">
        <v>0</v>
      </c>
      <c r="E621" s="74">
        <v>4</v>
      </c>
      <c r="F621" s="67" t="s">
        <v>230</v>
      </c>
      <c r="G621" s="67" t="s">
        <v>1052</v>
      </c>
      <c r="H621" s="37">
        <f t="shared" si="9"/>
        <v>618</v>
      </c>
      <c r="I621" s="37"/>
    </row>
    <row r="622" spans="1:9">
      <c r="A622" s="37" t="s">
        <v>734</v>
      </c>
      <c r="B622" s="37" t="s">
        <v>703</v>
      </c>
      <c r="C622" s="74">
        <v>0</v>
      </c>
      <c r="D622" s="74">
        <v>0</v>
      </c>
      <c r="E622" s="74">
        <v>4</v>
      </c>
      <c r="F622" s="67" t="s">
        <v>230</v>
      </c>
      <c r="G622" s="67" t="s">
        <v>1052</v>
      </c>
      <c r="H622" s="37">
        <f t="shared" si="9"/>
        <v>619</v>
      </c>
      <c r="I622" s="37"/>
    </row>
    <row r="623" spans="1:9">
      <c r="A623" s="37" t="s">
        <v>735</v>
      </c>
      <c r="B623" s="37" t="s">
        <v>704</v>
      </c>
      <c r="C623" s="74">
        <v>4</v>
      </c>
      <c r="D623" s="74">
        <v>0</v>
      </c>
      <c r="E623" s="74">
        <v>4</v>
      </c>
      <c r="F623" s="67" t="s">
        <v>230</v>
      </c>
      <c r="G623" s="67" t="s">
        <v>1052</v>
      </c>
      <c r="H623" s="37">
        <f t="shared" si="9"/>
        <v>620</v>
      </c>
      <c r="I623" s="37"/>
    </row>
    <row r="624" spans="1:9">
      <c r="A624" s="37" t="s">
        <v>736</v>
      </c>
      <c r="B624" s="37" t="s">
        <v>705</v>
      </c>
      <c r="C624" s="74">
        <v>1</v>
      </c>
      <c r="D624" s="74">
        <v>1</v>
      </c>
      <c r="E624" s="74">
        <v>63</v>
      </c>
      <c r="F624" s="67" t="s">
        <v>230</v>
      </c>
      <c r="G624" s="67" t="s">
        <v>1052</v>
      </c>
      <c r="H624" s="37">
        <f t="shared" si="9"/>
        <v>621</v>
      </c>
      <c r="I624" s="37"/>
    </row>
    <row r="625" spans="1:9">
      <c r="A625" s="37" t="s">
        <v>737</v>
      </c>
      <c r="B625" s="37" t="s">
        <v>706</v>
      </c>
      <c r="C625" s="74">
        <v>4</v>
      </c>
      <c r="D625" s="74">
        <v>1</v>
      </c>
      <c r="E625" s="74">
        <v>4</v>
      </c>
      <c r="F625" s="67" t="s">
        <v>230</v>
      </c>
      <c r="G625" s="67" t="s">
        <v>1052</v>
      </c>
      <c r="H625" s="37">
        <f t="shared" ref="H625:H688" si="10">ROW()-3</f>
        <v>622</v>
      </c>
      <c r="I625" s="37"/>
    </row>
    <row r="626" spans="1:9">
      <c r="A626" s="37" t="s">
        <v>738</v>
      </c>
      <c r="B626" s="37" t="s">
        <v>707</v>
      </c>
      <c r="C626" s="74">
        <v>1</v>
      </c>
      <c r="D626" s="74">
        <v>1</v>
      </c>
      <c r="E626" s="74">
        <v>2</v>
      </c>
      <c r="F626" s="67" t="s">
        <v>230</v>
      </c>
      <c r="G626" s="67" t="s">
        <v>1052</v>
      </c>
      <c r="H626" s="37">
        <f t="shared" si="10"/>
        <v>623</v>
      </c>
      <c r="I626" s="37"/>
    </row>
    <row r="627" spans="1:9">
      <c r="A627" s="37" t="s">
        <v>739</v>
      </c>
      <c r="B627" s="37" t="s">
        <v>708</v>
      </c>
      <c r="C627" s="74">
        <v>0</v>
      </c>
      <c r="D627" s="74">
        <v>0</v>
      </c>
      <c r="E627" s="74">
        <v>3</v>
      </c>
      <c r="F627" s="67" t="s">
        <v>230</v>
      </c>
      <c r="G627" s="67" t="s">
        <v>1052</v>
      </c>
      <c r="H627" s="37">
        <f t="shared" si="10"/>
        <v>624</v>
      </c>
      <c r="I627" s="37"/>
    </row>
    <row r="628" spans="1:9">
      <c r="A628" s="37" t="s">
        <v>740</v>
      </c>
      <c r="B628" s="37" t="s">
        <v>709</v>
      </c>
      <c r="C628" s="74" t="s">
        <v>863</v>
      </c>
      <c r="D628" s="74" t="s">
        <v>195</v>
      </c>
      <c r="E628" s="74" t="s">
        <v>228</v>
      </c>
      <c r="F628" s="67" t="s">
        <v>230</v>
      </c>
      <c r="G628" s="67" t="s">
        <v>1052</v>
      </c>
      <c r="H628" s="37">
        <f t="shared" si="10"/>
        <v>625</v>
      </c>
      <c r="I628" s="37"/>
    </row>
    <row r="629" spans="1:9">
      <c r="A629" s="37" t="s">
        <v>741</v>
      </c>
      <c r="B629" s="37" t="s">
        <v>710</v>
      </c>
      <c r="C629" s="74" t="s">
        <v>196</v>
      </c>
      <c r="D629" s="74" t="s">
        <v>195</v>
      </c>
      <c r="E629" s="74" t="s">
        <v>228</v>
      </c>
      <c r="F629" s="67" t="s">
        <v>230</v>
      </c>
      <c r="G629" s="67" t="s">
        <v>1052</v>
      </c>
      <c r="H629" s="37">
        <f t="shared" si="10"/>
        <v>626</v>
      </c>
      <c r="I629" s="37"/>
    </row>
    <row r="630" spans="1:9">
      <c r="A630" s="37" t="s">
        <v>742</v>
      </c>
      <c r="B630" s="37" t="s">
        <v>711</v>
      </c>
      <c r="C630" s="74" t="s">
        <v>864</v>
      </c>
      <c r="D630" s="74" t="s">
        <v>195</v>
      </c>
      <c r="E630" s="74" t="s">
        <v>228</v>
      </c>
      <c r="F630" s="67" t="s">
        <v>230</v>
      </c>
      <c r="G630" s="67" t="s">
        <v>1052</v>
      </c>
      <c r="H630" s="37">
        <f t="shared" si="10"/>
        <v>627</v>
      </c>
      <c r="I630" s="37"/>
    </row>
    <row r="631" spans="1:9">
      <c r="A631" s="37" t="s">
        <v>966</v>
      </c>
      <c r="B631" s="37" t="s">
        <v>967</v>
      </c>
      <c r="C631" s="74">
        <v>0</v>
      </c>
      <c r="D631" s="74">
        <v>0</v>
      </c>
      <c r="E631" s="74">
        <v>1</v>
      </c>
      <c r="F631" s="67" t="s">
        <v>230</v>
      </c>
      <c r="G631" s="67" t="s">
        <v>1052</v>
      </c>
      <c r="H631" s="37">
        <f t="shared" si="10"/>
        <v>628</v>
      </c>
      <c r="I631" s="37"/>
    </row>
    <row r="632" spans="1:9">
      <c r="A632" s="37" t="s">
        <v>743</v>
      </c>
      <c r="B632" s="37" t="s">
        <v>712</v>
      </c>
      <c r="C632" s="74">
        <v>1</v>
      </c>
      <c r="D632" s="74">
        <v>1</v>
      </c>
      <c r="E632" s="74">
        <v>5</v>
      </c>
      <c r="F632" s="67" t="s">
        <v>230</v>
      </c>
      <c r="G632" s="67" t="s">
        <v>1052</v>
      </c>
      <c r="H632" s="37">
        <f t="shared" si="10"/>
        <v>629</v>
      </c>
      <c r="I632" s="37"/>
    </row>
    <row r="633" spans="1:9">
      <c r="A633" s="37" t="s">
        <v>744</v>
      </c>
      <c r="B633" s="37" t="s">
        <v>713</v>
      </c>
      <c r="C633" s="74">
        <v>32</v>
      </c>
      <c r="D633" s="80">
        <v>0</v>
      </c>
      <c r="E633" s="74">
        <v>504</v>
      </c>
      <c r="F633" s="67" t="s">
        <v>230</v>
      </c>
      <c r="G633" s="67" t="s">
        <v>1052</v>
      </c>
      <c r="H633" s="37">
        <f t="shared" si="10"/>
        <v>630</v>
      </c>
      <c r="I633" s="37" t="s">
        <v>2962</v>
      </c>
    </row>
    <row r="634" spans="1:9">
      <c r="A634" s="37" t="s">
        <v>745</v>
      </c>
      <c r="B634" s="37" t="s">
        <v>714</v>
      </c>
      <c r="C634" s="74">
        <v>32</v>
      </c>
      <c r="D634" s="80">
        <v>0</v>
      </c>
      <c r="E634" s="74">
        <v>504</v>
      </c>
      <c r="F634" s="67" t="s">
        <v>230</v>
      </c>
      <c r="G634" s="67" t="s">
        <v>1052</v>
      </c>
      <c r="H634" s="37">
        <f t="shared" si="10"/>
        <v>631</v>
      </c>
      <c r="I634" s="37" t="s">
        <v>2962</v>
      </c>
    </row>
    <row r="635" spans="1:9">
      <c r="A635" s="37" t="s">
        <v>968</v>
      </c>
      <c r="B635" s="37" t="s">
        <v>969</v>
      </c>
      <c r="C635" s="74">
        <v>0</v>
      </c>
      <c r="D635" s="74">
        <v>0</v>
      </c>
      <c r="E635" s="74">
        <v>1</v>
      </c>
      <c r="F635" s="67" t="s">
        <v>230</v>
      </c>
      <c r="G635" s="67" t="s">
        <v>1052</v>
      </c>
      <c r="H635" s="37">
        <f t="shared" si="10"/>
        <v>632</v>
      </c>
      <c r="I635" s="37"/>
    </row>
    <row r="636" spans="1:9">
      <c r="A636" s="37" t="s">
        <v>970</v>
      </c>
      <c r="B636" s="37" t="s">
        <v>971</v>
      </c>
      <c r="C636" s="74">
        <v>0</v>
      </c>
      <c r="D636" s="74">
        <v>0</v>
      </c>
      <c r="E636" s="74">
        <v>1</v>
      </c>
      <c r="F636" s="67" t="s">
        <v>230</v>
      </c>
      <c r="G636" s="67" t="s">
        <v>1052</v>
      </c>
      <c r="H636" s="37">
        <f t="shared" si="10"/>
        <v>633</v>
      </c>
      <c r="I636" s="37"/>
    </row>
    <row r="637" spans="1:9">
      <c r="A637" s="37" t="s">
        <v>972</v>
      </c>
      <c r="B637" s="37" t="s">
        <v>973</v>
      </c>
      <c r="C637" s="74">
        <v>0</v>
      </c>
      <c r="D637" s="74">
        <v>0</v>
      </c>
      <c r="E637" s="74">
        <v>1</v>
      </c>
      <c r="F637" s="67" t="s">
        <v>230</v>
      </c>
      <c r="G637" s="67" t="s">
        <v>1052</v>
      </c>
      <c r="H637" s="37">
        <f t="shared" si="10"/>
        <v>634</v>
      </c>
      <c r="I637" s="37"/>
    </row>
    <row r="638" spans="1:9">
      <c r="A638" s="37" t="s">
        <v>746</v>
      </c>
      <c r="B638" s="37" t="s">
        <v>715</v>
      </c>
      <c r="C638" s="74">
        <v>32</v>
      </c>
      <c r="D638" s="74">
        <v>5</v>
      </c>
      <c r="E638" s="74">
        <v>256</v>
      </c>
      <c r="F638" s="67" t="s">
        <v>230</v>
      </c>
      <c r="G638" s="67" t="s">
        <v>1052</v>
      </c>
      <c r="H638" s="37">
        <f t="shared" si="10"/>
        <v>635</v>
      </c>
      <c r="I638" s="37"/>
    </row>
    <row r="639" spans="1:9">
      <c r="A639" s="37" t="s">
        <v>747</v>
      </c>
      <c r="B639" s="37" t="s">
        <v>716</v>
      </c>
      <c r="C639" s="74">
        <v>32</v>
      </c>
      <c r="D639" s="74">
        <v>4</v>
      </c>
      <c r="E639" s="74">
        <v>256</v>
      </c>
      <c r="F639" s="67" t="s">
        <v>230</v>
      </c>
      <c r="G639" s="67" t="s">
        <v>1052</v>
      </c>
      <c r="H639" s="37">
        <f t="shared" si="10"/>
        <v>636</v>
      </c>
      <c r="I639" s="37"/>
    </row>
    <row r="640" spans="1:9">
      <c r="A640" s="37" t="s">
        <v>748</v>
      </c>
      <c r="B640" s="37" t="s">
        <v>717</v>
      </c>
      <c r="C640" s="74">
        <v>0</v>
      </c>
      <c r="D640" s="74">
        <v>0</v>
      </c>
      <c r="E640" s="74">
        <v>65535</v>
      </c>
      <c r="F640" s="67" t="s">
        <v>230</v>
      </c>
      <c r="G640" s="67" t="s">
        <v>1052</v>
      </c>
      <c r="H640" s="37">
        <f t="shared" si="10"/>
        <v>637</v>
      </c>
      <c r="I640" s="37"/>
    </row>
    <row r="641" spans="1:9">
      <c r="A641" s="37" t="s">
        <v>1014</v>
      </c>
      <c r="B641" s="37" t="s">
        <v>1015</v>
      </c>
      <c r="C641" s="74">
        <v>1</v>
      </c>
      <c r="D641" s="74">
        <v>0</v>
      </c>
      <c r="E641" s="74">
        <v>2147483647</v>
      </c>
      <c r="F641" s="67" t="s">
        <v>230</v>
      </c>
      <c r="G641" s="67" t="s">
        <v>1052</v>
      </c>
      <c r="H641" s="37">
        <f t="shared" si="10"/>
        <v>638</v>
      </c>
      <c r="I641" s="37"/>
    </row>
    <row r="642" spans="1:9">
      <c r="A642" s="37" t="s">
        <v>974</v>
      </c>
      <c r="B642" s="37" t="s">
        <v>975</v>
      </c>
      <c r="C642" s="74" t="s">
        <v>892</v>
      </c>
      <c r="D642" s="74" t="s">
        <v>195</v>
      </c>
      <c r="E642" s="74" t="s">
        <v>228</v>
      </c>
      <c r="F642" s="67" t="s">
        <v>230</v>
      </c>
      <c r="G642" s="67" t="s">
        <v>1052</v>
      </c>
      <c r="H642" s="37">
        <f t="shared" si="10"/>
        <v>639</v>
      </c>
      <c r="I642" s="37"/>
    </row>
    <row r="643" spans="1:9">
      <c r="A643" s="37" t="s">
        <v>976</v>
      </c>
      <c r="B643" s="37" t="s">
        <v>977</v>
      </c>
      <c r="C643" s="74" t="s">
        <v>875</v>
      </c>
      <c r="D643" s="74" t="s">
        <v>195</v>
      </c>
      <c r="E643" s="74" t="s">
        <v>228</v>
      </c>
      <c r="F643" s="67" t="s">
        <v>230</v>
      </c>
      <c r="G643" s="67" t="s">
        <v>1052</v>
      </c>
      <c r="H643" s="37">
        <f t="shared" si="10"/>
        <v>640</v>
      </c>
      <c r="I643" s="37"/>
    </row>
    <row r="644" spans="1:9">
      <c r="A644" s="37" t="s">
        <v>978</v>
      </c>
      <c r="B644" s="37" t="s">
        <v>979</v>
      </c>
      <c r="C644" s="74" t="s">
        <v>875</v>
      </c>
      <c r="D644" s="74" t="s">
        <v>195</v>
      </c>
      <c r="E644" s="74" t="s">
        <v>228</v>
      </c>
      <c r="F644" s="67" t="s">
        <v>230</v>
      </c>
      <c r="G644" s="67" t="s">
        <v>1052</v>
      </c>
      <c r="H644" s="37">
        <f t="shared" si="10"/>
        <v>641</v>
      </c>
      <c r="I644" s="37"/>
    </row>
    <row r="645" spans="1:9">
      <c r="A645" s="37" t="s">
        <v>3028</v>
      </c>
      <c r="B645" s="37" t="s">
        <v>718</v>
      </c>
      <c r="C645" s="74">
        <v>32</v>
      </c>
      <c r="D645" s="74">
        <v>32</v>
      </c>
      <c r="E645" s="74">
        <v>360</v>
      </c>
      <c r="F645" s="67" t="s">
        <v>230</v>
      </c>
      <c r="G645" s="67" t="s">
        <v>1052</v>
      </c>
      <c r="H645" s="37">
        <f t="shared" si="10"/>
        <v>642</v>
      </c>
      <c r="I645" s="37" t="s">
        <v>2970</v>
      </c>
    </row>
    <row r="646" spans="1:9">
      <c r="A646" s="37" t="s">
        <v>3029</v>
      </c>
      <c r="B646" s="37" t="s">
        <v>719</v>
      </c>
      <c r="C646" s="74">
        <v>0</v>
      </c>
      <c r="D646" s="74">
        <v>0</v>
      </c>
      <c r="E646" s="74">
        <v>360</v>
      </c>
      <c r="F646" s="67" t="s">
        <v>230</v>
      </c>
      <c r="G646" s="67" t="s">
        <v>1052</v>
      </c>
      <c r="H646" s="37">
        <f t="shared" si="10"/>
        <v>643</v>
      </c>
      <c r="I646" s="37" t="s">
        <v>2970</v>
      </c>
    </row>
    <row r="647" spans="1:9">
      <c r="A647" s="37" t="s">
        <v>3030</v>
      </c>
      <c r="B647" s="37" t="s">
        <v>720</v>
      </c>
      <c r="C647" s="74">
        <v>0</v>
      </c>
      <c r="D647" s="74">
        <v>0</v>
      </c>
      <c r="E647" s="74">
        <v>360</v>
      </c>
      <c r="F647" s="67" t="s">
        <v>230</v>
      </c>
      <c r="G647" s="67" t="s">
        <v>1052</v>
      </c>
      <c r="H647" s="37">
        <f t="shared" si="10"/>
        <v>644</v>
      </c>
      <c r="I647" s="37" t="s">
        <v>2970</v>
      </c>
    </row>
    <row r="648" spans="1:9">
      <c r="A648" s="37" t="s">
        <v>3031</v>
      </c>
      <c r="B648" s="37" t="s">
        <v>721</v>
      </c>
      <c r="C648" s="74">
        <v>0</v>
      </c>
      <c r="D648" s="74">
        <v>0</v>
      </c>
      <c r="E648" s="74">
        <v>360</v>
      </c>
      <c r="F648" s="67" t="s">
        <v>230</v>
      </c>
      <c r="G648" s="67" t="s">
        <v>1052</v>
      </c>
      <c r="H648" s="37">
        <f t="shared" si="10"/>
        <v>645</v>
      </c>
      <c r="I648" s="37" t="s">
        <v>2970</v>
      </c>
    </row>
    <row r="649" spans="1:9">
      <c r="A649" s="37" t="s">
        <v>3032</v>
      </c>
      <c r="B649" s="37" t="s">
        <v>722</v>
      </c>
      <c r="C649" s="74">
        <v>32</v>
      </c>
      <c r="D649" s="74">
        <v>32</v>
      </c>
      <c r="E649" s="74">
        <v>360</v>
      </c>
      <c r="F649" s="67" t="s">
        <v>230</v>
      </c>
      <c r="G649" s="67" t="s">
        <v>1052</v>
      </c>
      <c r="H649" s="37">
        <f t="shared" si="10"/>
        <v>646</v>
      </c>
      <c r="I649" s="37" t="s">
        <v>2970</v>
      </c>
    </row>
    <row r="650" spans="1:9">
      <c r="A650" s="37" t="s">
        <v>3033</v>
      </c>
      <c r="B650" s="37" t="s">
        <v>723</v>
      </c>
      <c r="C650" s="74">
        <v>0</v>
      </c>
      <c r="D650" s="74">
        <v>0</v>
      </c>
      <c r="E650" s="74">
        <v>360</v>
      </c>
      <c r="F650" s="67" t="s">
        <v>230</v>
      </c>
      <c r="G650" s="67" t="s">
        <v>1052</v>
      </c>
      <c r="H650" s="37">
        <f t="shared" si="10"/>
        <v>647</v>
      </c>
      <c r="I650" s="37" t="s">
        <v>2970</v>
      </c>
    </row>
    <row r="651" spans="1:9">
      <c r="A651" s="37" t="s">
        <v>3034</v>
      </c>
      <c r="B651" s="37" t="s">
        <v>724</v>
      </c>
      <c r="C651" s="74">
        <v>0</v>
      </c>
      <c r="D651" s="74">
        <v>0</v>
      </c>
      <c r="E651" s="74">
        <v>360</v>
      </c>
      <c r="F651" s="67" t="s">
        <v>230</v>
      </c>
      <c r="G651" s="67" t="s">
        <v>1052</v>
      </c>
      <c r="H651" s="37">
        <f t="shared" si="10"/>
        <v>648</v>
      </c>
      <c r="I651" s="37" t="s">
        <v>2970</v>
      </c>
    </row>
    <row r="652" spans="1:9">
      <c r="A652" s="37" t="s">
        <v>3035</v>
      </c>
      <c r="B652" s="37" t="s">
        <v>725</v>
      </c>
      <c r="C652" s="74">
        <v>0</v>
      </c>
      <c r="D652" s="74">
        <v>0</v>
      </c>
      <c r="E652" s="74">
        <v>360</v>
      </c>
      <c r="F652" s="67" t="s">
        <v>230</v>
      </c>
      <c r="G652" s="67" t="s">
        <v>1052</v>
      </c>
      <c r="H652" s="37">
        <f t="shared" si="10"/>
        <v>649</v>
      </c>
      <c r="I652" s="37" t="s">
        <v>2970</v>
      </c>
    </row>
    <row r="653" spans="1:9">
      <c r="A653" s="37" t="s">
        <v>749</v>
      </c>
      <c r="B653" s="37" t="s">
        <v>726</v>
      </c>
      <c r="C653" s="74" t="s">
        <v>186</v>
      </c>
      <c r="D653" s="74" t="s">
        <v>186</v>
      </c>
      <c r="E653" s="74" t="s">
        <v>186</v>
      </c>
      <c r="F653" s="67" t="s">
        <v>230</v>
      </c>
      <c r="G653" s="67" t="s">
        <v>1052</v>
      </c>
      <c r="H653" s="37">
        <f t="shared" si="10"/>
        <v>650</v>
      </c>
      <c r="I653" s="37"/>
    </row>
    <row r="654" spans="1:9">
      <c r="A654" s="37" t="s">
        <v>3172</v>
      </c>
      <c r="B654" s="37" t="s">
        <v>3179</v>
      </c>
      <c r="C654" s="74" t="s">
        <v>186</v>
      </c>
      <c r="D654" s="74" t="s">
        <v>186</v>
      </c>
      <c r="E654" s="74" t="s">
        <v>186</v>
      </c>
      <c r="F654" s="67" t="s">
        <v>230</v>
      </c>
      <c r="G654" s="67" t="s">
        <v>1052</v>
      </c>
      <c r="H654" s="37">
        <f t="shared" si="10"/>
        <v>651</v>
      </c>
      <c r="I654" s="37" t="s">
        <v>3131</v>
      </c>
    </row>
    <row r="655" spans="1:9">
      <c r="A655" s="37" t="s">
        <v>3173</v>
      </c>
      <c r="B655" s="37" t="s">
        <v>3178</v>
      </c>
      <c r="C655" s="74" t="s">
        <v>186</v>
      </c>
      <c r="D655" s="74" t="s">
        <v>186</v>
      </c>
      <c r="E655" s="74" t="s">
        <v>186</v>
      </c>
      <c r="F655" s="67" t="s">
        <v>230</v>
      </c>
      <c r="G655" s="67" t="s">
        <v>1052</v>
      </c>
      <c r="H655" s="37">
        <f t="shared" si="10"/>
        <v>652</v>
      </c>
      <c r="I655" s="37" t="s">
        <v>3131</v>
      </c>
    </row>
    <row r="656" spans="1:9">
      <c r="A656" s="37" t="s">
        <v>3174</v>
      </c>
      <c r="B656" s="37" t="s">
        <v>3177</v>
      </c>
      <c r="C656" s="74" t="s">
        <v>186</v>
      </c>
      <c r="D656" s="74" t="s">
        <v>186</v>
      </c>
      <c r="E656" s="74" t="s">
        <v>186</v>
      </c>
      <c r="F656" s="67" t="s">
        <v>230</v>
      </c>
      <c r="G656" s="67" t="s">
        <v>1052</v>
      </c>
      <c r="H656" s="37">
        <f t="shared" si="10"/>
        <v>653</v>
      </c>
      <c r="I656" s="37" t="s">
        <v>3131</v>
      </c>
    </row>
    <row r="657" spans="1:9">
      <c r="A657" s="37" t="s">
        <v>3175</v>
      </c>
      <c r="B657" s="37" t="s">
        <v>3176</v>
      </c>
      <c r="C657" s="74" t="s">
        <v>186</v>
      </c>
      <c r="D657" s="74" t="s">
        <v>186</v>
      </c>
      <c r="E657" s="74" t="s">
        <v>186</v>
      </c>
      <c r="F657" s="67" t="s">
        <v>230</v>
      </c>
      <c r="G657" s="67" t="s">
        <v>1052</v>
      </c>
      <c r="H657" s="37">
        <f t="shared" si="10"/>
        <v>654</v>
      </c>
      <c r="I657" s="37" t="s">
        <v>3131</v>
      </c>
    </row>
    <row r="658" spans="1:9">
      <c r="A658" s="37" t="s">
        <v>750</v>
      </c>
      <c r="B658" s="37" t="s">
        <v>773</v>
      </c>
      <c r="C658" s="74">
        <v>0</v>
      </c>
      <c r="D658" s="74" t="s">
        <v>195</v>
      </c>
      <c r="E658" s="74" t="s">
        <v>228</v>
      </c>
      <c r="F658" s="67" t="s">
        <v>230</v>
      </c>
      <c r="G658" s="67" t="s">
        <v>1052</v>
      </c>
      <c r="H658" s="37">
        <f t="shared" si="10"/>
        <v>655</v>
      </c>
      <c r="I658" s="37"/>
    </row>
    <row r="659" spans="1:9">
      <c r="A659" s="37" t="s">
        <v>751</v>
      </c>
      <c r="B659" s="37" t="s">
        <v>774</v>
      </c>
      <c r="C659" s="74">
        <v>8</v>
      </c>
      <c r="D659" s="74">
        <v>5</v>
      </c>
      <c r="E659" s="74">
        <v>32</v>
      </c>
      <c r="F659" s="67" t="s">
        <v>230</v>
      </c>
      <c r="G659" s="67" t="s">
        <v>1052</v>
      </c>
      <c r="H659" s="37">
        <f t="shared" si="10"/>
        <v>656</v>
      </c>
      <c r="I659" s="37"/>
    </row>
    <row r="660" spans="1:9">
      <c r="A660" s="37" t="s">
        <v>752</v>
      </c>
      <c r="B660" s="37" t="s">
        <v>775</v>
      </c>
      <c r="C660" s="74">
        <v>7</v>
      </c>
      <c r="D660" s="74">
        <v>4</v>
      </c>
      <c r="E660" s="74">
        <v>32</v>
      </c>
      <c r="F660" s="67" t="s">
        <v>230</v>
      </c>
      <c r="G660" s="67" t="s">
        <v>1052</v>
      </c>
      <c r="H660" s="37">
        <f t="shared" si="10"/>
        <v>657</v>
      </c>
      <c r="I660" s="37"/>
    </row>
    <row r="661" spans="1:9">
      <c r="A661" s="37" t="s">
        <v>753</v>
      </c>
      <c r="B661" s="37" t="s">
        <v>776</v>
      </c>
      <c r="C661" s="74">
        <v>0</v>
      </c>
      <c r="D661" s="74">
        <v>0</v>
      </c>
      <c r="E661" s="74">
        <v>63</v>
      </c>
      <c r="F661" s="67" t="s">
        <v>230</v>
      </c>
      <c r="G661" s="67" t="s">
        <v>1052</v>
      </c>
      <c r="H661" s="37">
        <f t="shared" si="10"/>
        <v>658</v>
      </c>
      <c r="I661" s="37"/>
    </row>
    <row r="662" spans="1:9">
      <c r="A662" s="37" t="s">
        <v>754</v>
      </c>
      <c r="B662" s="37" t="s">
        <v>777</v>
      </c>
      <c r="C662" s="74">
        <v>2</v>
      </c>
      <c r="D662" s="74">
        <v>0</v>
      </c>
      <c r="E662" s="74">
        <v>2</v>
      </c>
      <c r="F662" s="67" t="s">
        <v>230</v>
      </c>
      <c r="G662" s="67" t="s">
        <v>1052</v>
      </c>
      <c r="H662" s="37">
        <f t="shared" si="10"/>
        <v>659</v>
      </c>
      <c r="I662" s="37"/>
    </row>
    <row r="663" spans="1:9">
      <c r="A663" s="37" t="s">
        <v>755</v>
      </c>
      <c r="B663" s="37" t="s">
        <v>778</v>
      </c>
      <c r="C663" s="74">
        <v>1</v>
      </c>
      <c r="D663" s="74">
        <v>1</v>
      </c>
      <c r="E663" s="74">
        <v>125</v>
      </c>
      <c r="F663" s="67" t="s">
        <v>230</v>
      </c>
      <c r="G663" s="67" t="s">
        <v>1052</v>
      </c>
      <c r="H663" s="37">
        <f t="shared" si="10"/>
        <v>660</v>
      </c>
      <c r="I663" s="37"/>
    </row>
    <row r="664" spans="1:9">
      <c r="A664" s="37" t="s">
        <v>756</v>
      </c>
      <c r="B664" s="37" t="s">
        <v>779</v>
      </c>
      <c r="C664" s="74">
        <v>0</v>
      </c>
      <c r="D664" s="74">
        <v>0</v>
      </c>
      <c r="E664" s="74">
        <v>4</v>
      </c>
      <c r="F664" s="67" t="s">
        <v>230</v>
      </c>
      <c r="G664" s="67" t="s">
        <v>1052</v>
      </c>
      <c r="H664" s="37">
        <f t="shared" si="10"/>
        <v>661</v>
      </c>
      <c r="I664" s="37"/>
    </row>
    <row r="665" spans="1:9">
      <c r="A665" s="37" t="s">
        <v>757</v>
      </c>
      <c r="B665" s="37" t="s">
        <v>780</v>
      </c>
      <c r="C665" s="74">
        <v>0</v>
      </c>
      <c r="D665" s="74">
        <v>0</v>
      </c>
      <c r="E665" s="74">
        <v>4</v>
      </c>
      <c r="F665" s="67" t="s">
        <v>230</v>
      </c>
      <c r="G665" s="67" t="s">
        <v>1052</v>
      </c>
      <c r="H665" s="37">
        <f t="shared" si="10"/>
        <v>662</v>
      </c>
      <c r="I665" s="37"/>
    </row>
    <row r="666" spans="1:9">
      <c r="A666" s="37" t="s">
        <v>758</v>
      </c>
      <c r="B666" s="37" t="s">
        <v>781</v>
      </c>
      <c r="C666" s="74">
        <v>4</v>
      </c>
      <c r="D666" s="74">
        <v>0</v>
      </c>
      <c r="E666" s="74">
        <v>4</v>
      </c>
      <c r="F666" s="67" t="s">
        <v>230</v>
      </c>
      <c r="G666" s="67" t="s">
        <v>1052</v>
      </c>
      <c r="H666" s="37">
        <f t="shared" si="10"/>
        <v>663</v>
      </c>
      <c r="I666" s="37"/>
    </row>
    <row r="667" spans="1:9">
      <c r="A667" s="37" t="s">
        <v>759</v>
      </c>
      <c r="B667" s="37" t="s">
        <v>782</v>
      </c>
      <c r="C667" s="74">
        <v>1</v>
      </c>
      <c r="D667" s="74">
        <v>1</v>
      </c>
      <c r="E667" s="74">
        <v>63</v>
      </c>
      <c r="F667" s="67" t="s">
        <v>230</v>
      </c>
      <c r="G667" s="67" t="s">
        <v>1052</v>
      </c>
      <c r="H667" s="37">
        <f t="shared" si="10"/>
        <v>664</v>
      </c>
      <c r="I667" s="37"/>
    </row>
    <row r="668" spans="1:9">
      <c r="A668" s="37" t="s">
        <v>760</v>
      </c>
      <c r="B668" s="37" t="s">
        <v>783</v>
      </c>
      <c r="C668" s="74">
        <v>4</v>
      </c>
      <c r="D668" s="74">
        <v>1</v>
      </c>
      <c r="E668" s="74">
        <v>4</v>
      </c>
      <c r="F668" s="67" t="s">
        <v>230</v>
      </c>
      <c r="G668" s="67" t="s">
        <v>1052</v>
      </c>
      <c r="H668" s="37">
        <f t="shared" si="10"/>
        <v>665</v>
      </c>
      <c r="I668" s="37"/>
    </row>
    <row r="669" spans="1:9">
      <c r="A669" s="37" t="s">
        <v>761</v>
      </c>
      <c r="B669" s="37" t="s">
        <v>784</v>
      </c>
      <c r="C669" s="74">
        <v>1</v>
      </c>
      <c r="D669" s="74">
        <v>1</v>
      </c>
      <c r="E669" s="74">
        <v>2</v>
      </c>
      <c r="F669" s="67" t="s">
        <v>230</v>
      </c>
      <c r="G669" s="67" t="s">
        <v>1052</v>
      </c>
      <c r="H669" s="37">
        <f t="shared" si="10"/>
        <v>666</v>
      </c>
      <c r="I669" s="37"/>
    </row>
    <row r="670" spans="1:9">
      <c r="A670" s="37" t="s">
        <v>762</v>
      </c>
      <c r="B670" s="37" t="s">
        <v>785</v>
      </c>
      <c r="C670" s="74">
        <v>0</v>
      </c>
      <c r="D670" s="74">
        <v>0</v>
      </c>
      <c r="E670" s="74">
        <v>3</v>
      </c>
      <c r="F670" s="67" t="s">
        <v>230</v>
      </c>
      <c r="G670" s="67" t="s">
        <v>1052</v>
      </c>
      <c r="H670" s="37">
        <f t="shared" si="10"/>
        <v>667</v>
      </c>
      <c r="I670" s="37"/>
    </row>
    <row r="671" spans="1:9">
      <c r="A671" s="37" t="s">
        <v>763</v>
      </c>
      <c r="B671" s="37" t="s">
        <v>786</v>
      </c>
      <c r="C671" s="74" t="s">
        <v>880</v>
      </c>
      <c r="D671" s="74" t="s">
        <v>195</v>
      </c>
      <c r="E671" s="74" t="s">
        <v>228</v>
      </c>
      <c r="F671" s="67" t="s">
        <v>230</v>
      </c>
      <c r="G671" s="67" t="s">
        <v>1052</v>
      </c>
      <c r="H671" s="37">
        <f t="shared" si="10"/>
        <v>668</v>
      </c>
      <c r="I671" s="37"/>
    </row>
    <row r="672" spans="1:9">
      <c r="A672" s="37" t="s">
        <v>764</v>
      </c>
      <c r="B672" s="37" t="s">
        <v>787</v>
      </c>
      <c r="C672" s="74" t="s">
        <v>196</v>
      </c>
      <c r="D672" s="74" t="s">
        <v>195</v>
      </c>
      <c r="E672" s="74" t="s">
        <v>228</v>
      </c>
      <c r="F672" s="67" t="s">
        <v>230</v>
      </c>
      <c r="G672" s="67" t="s">
        <v>1052</v>
      </c>
      <c r="H672" s="37">
        <f t="shared" si="10"/>
        <v>669</v>
      </c>
      <c r="I672" s="37"/>
    </row>
    <row r="673" spans="1:9">
      <c r="A673" s="37" t="s">
        <v>765</v>
      </c>
      <c r="B673" s="37" t="s">
        <v>788</v>
      </c>
      <c r="C673" s="74" t="s">
        <v>881</v>
      </c>
      <c r="D673" s="74" t="s">
        <v>195</v>
      </c>
      <c r="E673" s="74" t="s">
        <v>228</v>
      </c>
      <c r="F673" s="67" t="s">
        <v>230</v>
      </c>
      <c r="G673" s="67" t="s">
        <v>1052</v>
      </c>
      <c r="H673" s="37">
        <f t="shared" si="10"/>
        <v>670</v>
      </c>
      <c r="I673" s="37"/>
    </row>
    <row r="674" spans="1:9">
      <c r="A674" s="37" t="s">
        <v>980</v>
      </c>
      <c r="B674" s="37" t="s">
        <v>981</v>
      </c>
      <c r="C674" s="74">
        <v>0</v>
      </c>
      <c r="D674" s="74">
        <v>0</v>
      </c>
      <c r="E674" s="74">
        <v>1</v>
      </c>
      <c r="F674" s="67" t="s">
        <v>230</v>
      </c>
      <c r="G674" s="67" t="s">
        <v>1052</v>
      </c>
      <c r="H674" s="37">
        <f t="shared" si="10"/>
        <v>671</v>
      </c>
      <c r="I674" s="37"/>
    </row>
    <row r="675" spans="1:9">
      <c r="A675" s="37" t="s">
        <v>766</v>
      </c>
      <c r="B675" s="37" t="s">
        <v>789</v>
      </c>
      <c r="C675" s="74">
        <v>1</v>
      </c>
      <c r="D675" s="74">
        <v>1</v>
      </c>
      <c r="E675" s="74">
        <v>5</v>
      </c>
      <c r="F675" s="67" t="s">
        <v>230</v>
      </c>
      <c r="G675" s="67" t="s">
        <v>1052</v>
      </c>
      <c r="H675" s="37">
        <f t="shared" si="10"/>
        <v>672</v>
      </c>
      <c r="I675" s="37"/>
    </row>
    <row r="676" spans="1:9">
      <c r="A676" s="37" t="s">
        <v>767</v>
      </c>
      <c r="B676" s="37" t="s">
        <v>790</v>
      </c>
      <c r="C676" s="74">
        <v>32</v>
      </c>
      <c r="D676" s="80">
        <v>0</v>
      </c>
      <c r="E676" s="74">
        <v>504</v>
      </c>
      <c r="F676" s="67" t="s">
        <v>230</v>
      </c>
      <c r="G676" s="67" t="s">
        <v>1052</v>
      </c>
      <c r="H676" s="37">
        <f t="shared" si="10"/>
        <v>673</v>
      </c>
      <c r="I676" s="37" t="s">
        <v>2962</v>
      </c>
    </row>
    <row r="677" spans="1:9">
      <c r="A677" s="37" t="s">
        <v>768</v>
      </c>
      <c r="B677" s="37" t="s">
        <v>791</v>
      </c>
      <c r="C677" s="74">
        <v>32</v>
      </c>
      <c r="D677" s="80">
        <v>0</v>
      </c>
      <c r="E677" s="74">
        <v>504</v>
      </c>
      <c r="F677" s="67" t="s">
        <v>230</v>
      </c>
      <c r="G677" s="67" t="s">
        <v>1052</v>
      </c>
      <c r="H677" s="37">
        <f t="shared" si="10"/>
        <v>674</v>
      </c>
      <c r="I677" s="37" t="s">
        <v>2962</v>
      </c>
    </row>
    <row r="678" spans="1:9">
      <c r="A678" s="37" t="s">
        <v>982</v>
      </c>
      <c r="B678" s="37" t="s">
        <v>983</v>
      </c>
      <c r="C678" s="74">
        <v>0</v>
      </c>
      <c r="D678" s="74">
        <v>0</v>
      </c>
      <c r="E678" s="74">
        <v>1</v>
      </c>
      <c r="F678" s="67" t="s">
        <v>230</v>
      </c>
      <c r="G678" s="67" t="s">
        <v>1052</v>
      </c>
      <c r="H678" s="37">
        <f t="shared" si="10"/>
        <v>675</v>
      </c>
      <c r="I678" s="37"/>
    </row>
    <row r="679" spans="1:9">
      <c r="A679" s="37" t="s">
        <v>984</v>
      </c>
      <c r="B679" s="37" t="s">
        <v>985</v>
      </c>
      <c r="C679" s="74">
        <v>0</v>
      </c>
      <c r="D679" s="74">
        <v>0</v>
      </c>
      <c r="E679" s="74">
        <v>1</v>
      </c>
      <c r="F679" s="67" t="s">
        <v>230</v>
      </c>
      <c r="G679" s="67" t="s">
        <v>1052</v>
      </c>
      <c r="H679" s="37">
        <f t="shared" si="10"/>
        <v>676</v>
      </c>
      <c r="I679" s="37"/>
    </row>
    <row r="680" spans="1:9">
      <c r="A680" s="37" t="s">
        <v>986</v>
      </c>
      <c r="B680" s="37" t="s">
        <v>987</v>
      </c>
      <c r="C680" s="74">
        <v>0</v>
      </c>
      <c r="D680" s="74">
        <v>0</v>
      </c>
      <c r="E680" s="74">
        <v>1</v>
      </c>
      <c r="F680" s="67" t="s">
        <v>230</v>
      </c>
      <c r="G680" s="67" t="s">
        <v>1052</v>
      </c>
      <c r="H680" s="37">
        <f t="shared" si="10"/>
        <v>677</v>
      </c>
      <c r="I680" s="37"/>
    </row>
    <row r="681" spans="1:9">
      <c r="A681" s="37" t="s">
        <v>769</v>
      </c>
      <c r="B681" s="37" t="s">
        <v>792</v>
      </c>
      <c r="C681" s="74">
        <v>32</v>
      </c>
      <c r="D681" s="74">
        <v>5</v>
      </c>
      <c r="E681" s="74">
        <v>256</v>
      </c>
      <c r="F681" s="67" t="s">
        <v>230</v>
      </c>
      <c r="G681" s="67" t="s">
        <v>1052</v>
      </c>
      <c r="H681" s="37">
        <f t="shared" si="10"/>
        <v>678</v>
      </c>
      <c r="I681" s="37"/>
    </row>
    <row r="682" spans="1:9">
      <c r="A682" s="37" t="s">
        <v>770</v>
      </c>
      <c r="B682" s="37" t="s">
        <v>793</v>
      </c>
      <c r="C682" s="74">
        <v>32</v>
      </c>
      <c r="D682" s="74">
        <v>4</v>
      </c>
      <c r="E682" s="74">
        <v>256</v>
      </c>
      <c r="F682" s="67" t="s">
        <v>230</v>
      </c>
      <c r="G682" s="67" t="s">
        <v>1052</v>
      </c>
      <c r="H682" s="37">
        <f t="shared" si="10"/>
        <v>679</v>
      </c>
      <c r="I682" s="37"/>
    </row>
    <row r="683" spans="1:9">
      <c r="A683" s="37" t="s">
        <v>771</v>
      </c>
      <c r="B683" s="37" t="s">
        <v>794</v>
      </c>
      <c r="C683" s="74">
        <v>0</v>
      </c>
      <c r="D683" s="74">
        <v>0</v>
      </c>
      <c r="E683" s="74">
        <v>65535</v>
      </c>
      <c r="F683" s="67" t="s">
        <v>230</v>
      </c>
      <c r="G683" s="67" t="s">
        <v>1052</v>
      </c>
      <c r="H683" s="37">
        <f t="shared" si="10"/>
        <v>680</v>
      </c>
      <c r="I683" s="37"/>
    </row>
    <row r="684" spans="1:9">
      <c r="A684" s="37" t="s">
        <v>1016</v>
      </c>
      <c r="B684" s="37" t="s">
        <v>1017</v>
      </c>
      <c r="C684" s="74">
        <v>1</v>
      </c>
      <c r="D684" s="74">
        <v>0</v>
      </c>
      <c r="E684" s="74">
        <v>2147483647</v>
      </c>
      <c r="F684" s="67" t="s">
        <v>230</v>
      </c>
      <c r="G684" s="67" t="s">
        <v>1052</v>
      </c>
      <c r="H684" s="37">
        <f t="shared" si="10"/>
        <v>681</v>
      </c>
      <c r="I684" s="37"/>
    </row>
    <row r="685" spans="1:9">
      <c r="A685" s="37" t="s">
        <v>988</v>
      </c>
      <c r="B685" s="37" t="s">
        <v>989</v>
      </c>
      <c r="C685" s="74" t="s">
        <v>892</v>
      </c>
      <c r="D685" s="74" t="s">
        <v>195</v>
      </c>
      <c r="E685" s="74" t="s">
        <v>228</v>
      </c>
      <c r="F685" s="67" t="s">
        <v>230</v>
      </c>
      <c r="G685" s="67" t="s">
        <v>1052</v>
      </c>
      <c r="H685" s="37">
        <f t="shared" si="10"/>
        <v>682</v>
      </c>
      <c r="I685" s="37"/>
    </row>
    <row r="686" spans="1:9">
      <c r="A686" s="37" t="s">
        <v>990</v>
      </c>
      <c r="B686" s="37" t="s">
        <v>991</v>
      </c>
      <c r="C686" s="74" t="s">
        <v>892</v>
      </c>
      <c r="D686" s="74" t="s">
        <v>195</v>
      </c>
      <c r="E686" s="74" t="s">
        <v>228</v>
      </c>
      <c r="F686" s="67" t="s">
        <v>230</v>
      </c>
      <c r="G686" s="67" t="s">
        <v>1052</v>
      </c>
      <c r="H686" s="37">
        <f t="shared" si="10"/>
        <v>683</v>
      </c>
      <c r="I686" s="37"/>
    </row>
    <row r="687" spans="1:9">
      <c r="A687" s="37" t="s">
        <v>992</v>
      </c>
      <c r="B687" s="37" t="s">
        <v>993</v>
      </c>
      <c r="C687" s="74" t="s">
        <v>892</v>
      </c>
      <c r="D687" s="74" t="s">
        <v>195</v>
      </c>
      <c r="E687" s="74" t="s">
        <v>228</v>
      </c>
      <c r="F687" s="67" t="s">
        <v>230</v>
      </c>
      <c r="G687" s="67" t="s">
        <v>1052</v>
      </c>
      <c r="H687" s="37">
        <f t="shared" si="10"/>
        <v>684</v>
      </c>
      <c r="I687" s="37"/>
    </row>
    <row r="688" spans="1:9">
      <c r="A688" s="37" t="s">
        <v>3036</v>
      </c>
      <c r="B688" s="37" t="s">
        <v>795</v>
      </c>
      <c r="C688" s="74">
        <v>32</v>
      </c>
      <c r="D688" s="74">
        <v>32</v>
      </c>
      <c r="E688" s="74">
        <v>360</v>
      </c>
      <c r="F688" s="67" t="s">
        <v>230</v>
      </c>
      <c r="G688" s="67" t="s">
        <v>1052</v>
      </c>
      <c r="H688" s="37">
        <f t="shared" si="10"/>
        <v>685</v>
      </c>
      <c r="I688" s="37" t="s">
        <v>2970</v>
      </c>
    </row>
    <row r="689" spans="1:9">
      <c r="A689" s="37" t="s">
        <v>3037</v>
      </c>
      <c r="B689" s="37" t="s">
        <v>796</v>
      </c>
      <c r="C689" s="74">
        <v>0</v>
      </c>
      <c r="D689" s="74">
        <v>0</v>
      </c>
      <c r="E689" s="74">
        <v>360</v>
      </c>
      <c r="F689" s="67" t="s">
        <v>230</v>
      </c>
      <c r="G689" s="67" t="s">
        <v>1052</v>
      </c>
      <c r="H689" s="37">
        <f t="shared" ref="H689:H757" si="11">ROW()-3</f>
        <v>686</v>
      </c>
      <c r="I689" s="37" t="s">
        <v>2970</v>
      </c>
    </row>
    <row r="690" spans="1:9">
      <c r="A690" s="37" t="s">
        <v>3038</v>
      </c>
      <c r="B690" s="37" t="s">
        <v>797</v>
      </c>
      <c r="C690" s="74">
        <v>0</v>
      </c>
      <c r="D690" s="74">
        <v>0</v>
      </c>
      <c r="E690" s="74">
        <v>360</v>
      </c>
      <c r="F690" s="67" t="s">
        <v>230</v>
      </c>
      <c r="G690" s="67" t="s">
        <v>1052</v>
      </c>
      <c r="H690" s="37">
        <f t="shared" si="11"/>
        <v>687</v>
      </c>
      <c r="I690" s="37" t="s">
        <v>2970</v>
      </c>
    </row>
    <row r="691" spans="1:9">
      <c r="A691" s="37" t="s">
        <v>3039</v>
      </c>
      <c r="B691" s="37" t="s">
        <v>798</v>
      </c>
      <c r="C691" s="74">
        <v>0</v>
      </c>
      <c r="D691" s="74">
        <v>0</v>
      </c>
      <c r="E691" s="74">
        <v>360</v>
      </c>
      <c r="F691" s="67" t="s">
        <v>230</v>
      </c>
      <c r="G691" s="67" t="s">
        <v>1052</v>
      </c>
      <c r="H691" s="37">
        <f t="shared" si="11"/>
        <v>688</v>
      </c>
      <c r="I691" s="37" t="s">
        <v>2970</v>
      </c>
    </row>
    <row r="692" spans="1:9">
      <c r="A692" s="37" t="s">
        <v>3040</v>
      </c>
      <c r="B692" s="37" t="s">
        <v>799</v>
      </c>
      <c r="C692" s="74">
        <v>32</v>
      </c>
      <c r="D692" s="74">
        <v>32</v>
      </c>
      <c r="E692" s="74">
        <v>360</v>
      </c>
      <c r="F692" s="67" t="s">
        <v>230</v>
      </c>
      <c r="G692" s="67" t="s">
        <v>1052</v>
      </c>
      <c r="H692" s="37">
        <f t="shared" si="11"/>
        <v>689</v>
      </c>
      <c r="I692" s="37" t="s">
        <v>2970</v>
      </c>
    </row>
    <row r="693" spans="1:9">
      <c r="A693" s="37" t="s">
        <v>3041</v>
      </c>
      <c r="B693" s="37" t="s">
        <v>800</v>
      </c>
      <c r="C693" s="74">
        <v>0</v>
      </c>
      <c r="D693" s="74">
        <v>0</v>
      </c>
      <c r="E693" s="74">
        <v>360</v>
      </c>
      <c r="F693" s="67" t="s">
        <v>230</v>
      </c>
      <c r="G693" s="67" t="s">
        <v>1052</v>
      </c>
      <c r="H693" s="37">
        <f t="shared" si="11"/>
        <v>690</v>
      </c>
      <c r="I693" s="37" t="s">
        <v>2970</v>
      </c>
    </row>
    <row r="694" spans="1:9">
      <c r="A694" s="37" t="s">
        <v>3042</v>
      </c>
      <c r="B694" s="37" t="s">
        <v>801</v>
      </c>
      <c r="C694" s="74">
        <v>0</v>
      </c>
      <c r="D694" s="74">
        <v>0</v>
      </c>
      <c r="E694" s="74">
        <v>360</v>
      </c>
      <c r="F694" s="67" t="s">
        <v>230</v>
      </c>
      <c r="G694" s="67" t="s">
        <v>1052</v>
      </c>
      <c r="H694" s="37">
        <f t="shared" si="11"/>
        <v>691</v>
      </c>
      <c r="I694" s="37" t="s">
        <v>2970</v>
      </c>
    </row>
    <row r="695" spans="1:9">
      <c r="A695" s="37" t="s">
        <v>3043</v>
      </c>
      <c r="B695" s="37" t="s">
        <v>802</v>
      </c>
      <c r="C695" s="74">
        <v>0</v>
      </c>
      <c r="D695" s="74">
        <v>0</v>
      </c>
      <c r="E695" s="74">
        <v>360</v>
      </c>
      <c r="F695" s="67" t="s">
        <v>230</v>
      </c>
      <c r="G695" s="67" t="s">
        <v>1052</v>
      </c>
      <c r="H695" s="37">
        <f t="shared" si="11"/>
        <v>692</v>
      </c>
      <c r="I695" s="37" t="s">
        <v>2970</v>
      </c>
    </row>
    <row r="696" spans="1:9">
      <c r="A696" s="37" t="s">
        <v>772</v>
      </c>
      <c r="B696" s="37" t="s">
        <v>803</v>
      </c>
      <c r="C696" s="74" t="s">
        <v>186</v>
      </c>
      <c r="D696" s="74" t="s">
        <v>186</v>
      </c>
      <c r="E696" s="74" t="s">
        <v>186</v>
      </c>
      <c r="F696" s="67" t="s">
        <v>230</v>
      </c>
      <c r="G696" s="67" t="s">
        <v>1052</v>
      </c>
      <c r="H696" s="37">
        <f t="shared" si="11"/>
        <v>693</v>
      </c>
      <c r="I696" s="37"/>
    </row>
    <row r="697" spans="1:9">
      <c r="A697" s="37" t="s">
        <v>3180</v>
      </c>
      <c r="B697" s="37" t="s">
        <v>3187</v>
      </c>
      <c r="C697" s="74" t="s">
        <v>186</v>
      </c>
      <c r="D697" s="74" t="s">
        <v>186</v>
      </c>
      <c r="E697" s="74" t="s">
        <v>186</v>
      </c>
      <c r="F697" s="67" t="s">
        <v>230</v>
      </c>
      <c r="G697" s="67" t="s">
        <v>1052</v>
      </c>
      <c r="H697" s="37">
        <f t="shared" si="11"/>
        <v>694</v>
      </c>
      <c r="I697" s="37" t="s">
        <v>3131</v>
      </c>
    </row>
    <row r="698" spans="1:9">
      <c r="A698" s="37" t="s">
        <v>3181</v>
      </c>
      <c r="B698" s="37" t="s">
        <v>3186</v>
      </c>
      <c r="C698" s="74" t="s">
        <v>186</v>
      </c>
      <c r="D698" s="74" t="s">
        <v>186</v>
      </c>
      <c r="E698" s="74" t="s">
        <v>186</v>
      </c>
      <c r="F698" s="67" t="s">
        <v>230</v>
      </c>
      <c r="G698" s="67" t="s">
        <v>1052</v>
      </c>
      <c r="H698" s="37">
        <f t="shared" si="11"/>
        <v>695</v>
      </c>
      <c r="I698" s="37" t="s">
        <v>3131</v>
      </c>
    </row>
    <row r="699" spans="1:9">
      <c r="A699" s="37" t="s">
        <v>3182</v>
      </c>
      <c r="B699" s="37" t="s">
        <v>3185</v>
      </c>
      <c r="C699" s="74" t="s">
        <v>186</v>
      </c>
      <c r="D699" s="74" t="s">
        <v>186</v>
      </c>
      <c r="E699" s="74" t="s">
        <v>186</v>
      </c>
      <c r="F699" s="67" t="s">
        <v>230</v>
      </c>
      <c r="G699" s="67" t="s">
        <v>1052</v>
      </c>
      <c r="H699" s="37">
        <f t="shared" si="11"/>
        <v>696</v>
      </c>
      <c r="I699" s="37" t="s">
        <v>3131</v>
      </c>
    </row>
    <row r="700" spans="1:9">
      <c r="A700" s="37" t="s">
        <v>3183</v>
      </c>
      <c r="B700" s="37" t="s">
        <v>3184</v>
      </c>
      <c r="C700" s="74" t="s">
        <v>186</v>
      </c>
      <c r="D700" s="74" t="s">
        <v>186</v>
      </c>
      <c r="E700" s="74" t="s">
        <v>186</v>
      </c>
      <c r="F700" s="67" t="s">
        <v>230</v>
      </c>
      <c r="G700" s="67" t="s">
        <v>1052</v>
      </c>
      <c r="H700" s="37">
        <f t="shared" si="11"/>
        <v>697</v>
      </c>
      <c r="I700" s="37" t="s">
        <v>3131</v>
      </c>
    </row>
    <row r="701" spans="1:9">
      <c r="A701" s="37" t="s">
        <v>844</v>
      </c>
      <c r="B701" s="37" t="s">
        <v>845</v>
      </c>
      <c r="C701" s="74" t="s">
        <v>1040</v>
      </c>
      <c r="D701" s="74" t="s">
        <v>1039</v>
      </c>
      <c r="E701" s="74" t="s">
        <v>846</v>
      </c>
      <c r="F701" s="67" t="s">
        <v>230</v>
      </c>
      <c r="G701" s="67" t="s">
        <v>230</v>
      </c>
      <c r="H701" s="37">
        <f t="shared" si="11"/>
        <v>698</v>
      </c>
      <c r="I701" s="37" t="s">
        <v>2817</v>
      </c>
    </row>
    <row r="702" spans="1:9">
      <c r="A702" s="37" t="s">
        <v>847</v>
      </c>
      <c r="B702" s="37" t="s">
        <v>848</v>
      </c>
      <c r="C702" s="74" t="s">
        <v>2860</v>
      </c>
      <c r="D702" s="74" t="s">
        <v>1039</v>
      </c>
      <c r="E702" s="74" t="s">
        <v>846</v>
      </c>
      <c r="F702" s="67" t="s">
        <v>230</v>
      </c>
      <c r="G702" s="67" t="s">
        <v>230</v>
      </c>
      <c r="H702" s="37">
        <f t="shared" si="11"/>
        <v>699</v>
      </c>
      <c r="I702" s="37" t="s">
        <v>2861</v>
      </c>
    </row>
    <row r="703" spans="1:9">
      <c r="A703" s="37" t="s">
        <v>1045</v>
      </c>
      <c r="B703" s="37" t="s">
        <v>2767</v>
      </c>
      <c r="C703" s="15" t="s">
        <v>1049</v>
      </c>
      <c r="D703" s="74" t="s">
        <v>186</v>
      </c>
      <c r="E703" s="74" t="s">
        <v>186</v>
      </c>
      <c r="F703" s="67" t="s">
        <v>230</v>
      </c>
      <c r="G703" s="67" t="s">
        <v>230</v>
      </c>
      <c r="H703" s="37">
        <f t="shared" si="11"/>
        <v>700</v>
      </c>
      <c r="I703" s="37" t="s">
        <v>1048</v>
      </c>
    </row>
    <row r="704" spans="1:9">
      <c r="A704" s="37" t="s">
        <v>1077</v>
      </c>
      <c r="B704" s="37" t="s">
        <v>2749</v>
      </c>
      <c r="C704" s="15" t="s">
        <v>1079</v>
      </c>
      <c r="D704" s="74" t="s">
        <v>186</v>
      </c>
      <c r="E704" s="74" t="s">
        <v>186</v>
      </c>
      <c r="F704" s="67" t="s">
        <v>230</v>
      </c>
      <c r="G704" s="67" t="s">
        <v>230</v>
      </c>
      <c r="H704" s="37">
        <f t="shared" si="11"/>
        <v>701</v>
      </c>
      <c r="I704" s="37" t="s">
        <v>1048</v>
      </c>
    </row>
    <row r="705" spans="1:9">
      <c r="A705" s="37" t="s">
        <v>2748</v>
      </c>
      <c r="B705" s="37" t="s">
        <v>2769</v>
      </c>
      <c r="C705" s="37">
        <v>5</v>
      </c>
      <c r="D705" s="74">
        <v>0</v>
      </c>
      <c r="E705" s="74">
        <v>8</v>
      </c>
      <c r="F705" s="67" t="s">
        <v>230</v>
      </c>
      <c r="G705" s="67" t="s">
        <v>230</v>
      </c>
      <c r="H705" s="37">
        <f t="shared" si="11"/>
        <v>702</v>
      </c>
      <c r="I705" s="37"/>
    </row>
    <row r="706" spans="1:9">
      <c r="A706" s="37" t="s">
        <v>2758</v>
      </c>
      <c r="B706" s="37" t="s">
        <v>2750</v>
      </c>
      <c r="C706" s="37">
        <v>8</v>
      </c>
      <c r="D706" s="74">
        <v>0</v>
      </c>
      <c r="E706" s="74">
        <v>8</v>
      </c>
      <c r="F706" s="67" t="s">
        <v>230</v>
      </c>
      <c r="G706" s="67" t="s">
        <v>230</v>
      </c>
      <c r="H706" s="37">
        <f t="shared" si="11"/>
        <v>703</v>
      </c>
      <c r="I706" s="37"/>
    </row>
    <row r="707" spans="1:9">
      <c r="A707" s="37" t="s">
        <v>2752</v>
      </c>
      <c r="B707" s="37" t="s">
        <v>2780</v>
      </c>
      <c r="C707" s="81" t="s">
        <v>2753</v>
      </c>
      <c r="D707" s="74" t="s">
        <v>186</v>
      </c>
      <c r="E707" s="74" t="s">
        <v>186</v>
      </c>
      <c r="F707" s="67" t="s">
        <v>230</v>
      </c>
      <c r="G707" s="67" t="s">
        <v>230</v>
      </c>
      <c r="H707" s="37">
        <f t="shared" si="11"/>
        <v>704</v>
      </c>
      <c r="I707" s="37"/>
    </row>
    <row r="708" spans="1:9">
      <c r="A708" s="37" t="s">
        <v>2785</v>
      </c>
      <c r="B708" s="37" t="s">
        <v>2784</v>
      </c>
      <c r="C708" s="74">
        <v>5</v>
      </c>
      <c r="D708" s="74">
        <v>0</v>
      </c>
      <c r="E708" s="74">
        <v>2147483647</v>
      </c>
      <c r="F708" s="67" t="s">
        <v>230</v>
      </c>
      <c r="G708" s="67" t="s">
        <v>230</v>
      </c>
      <c r="H708" s="37">
        <f t="shared" si="11"/>
        <v>705</v>
      </c>
      <c r="I708" s="37"/>
    </row>
    <row r="709" spans="1:9">
      <c r="A709" s="70" t="s">
        <v>3377</v>
      </c>
      <c r="B709" s="70" t="s">
        <v>2766</v>
      </c>
      <c r="C709" s="82" t="s">
        <v>1046</v>
      </c>
      <c r="D709" s="83" t="s">
        <v>186</v>
      </c>
      <c r="E709" s="83" t="s">
        <v>186</v>
      </c>
      <c r="F709" s="84" t="s">
        <v>230</v>
      </c>
      <c r="G709" s="84" t="s">
        <v>230</v>
      </c>
      <c r="H709" s="70">
        <f t="shared" si="11"/>
        <v>706</v>
      </c>
      <c r="I709" s="70" t="s">
        <v>1066</v>
      </c>
    </row>
    <row r="710" spans="1:9">
      <c r="A710" s="70" t="s">
        <v>3378</v>
      </c>
      <c r="B710" s="70" t="s">
        <v>2746</v>
      </c>
      <c r="C710" s="82" t="s">
        <v>1078</v>
      </c>
      <c r="D710" s="83" t="s">
        <v>186</v>
      </c>
      <c r="E710" s="83" t="s">
        <v>186</v>
      </c>
      <c r="F710" s="84" t="s">
        <v>230</v>
      </c>
      <c r="G710" s="84" t="s">
        <v>230</v>
      </c>
      <c r="H710" s="70">
        <f t="shared" si="11"/>
        <v>707</v>
      </c>
      <c r="I710" s="70" t="s">
        <v>2743</v>
      </c>
    </row>
    <row r="711" spans="1:9">
      <c r="A711" s="70" t="s">
        <v>3379</v>
      </c>
      <c r="B711" s="70" t="s">
        <v>2765</v>
      </c>
      <c r="C711" s="82" t="s">
        <v>2745</v>
      </c>
      <c r="D711" s="83" t="s">
        <v>186</v>
      </c>
      <c r="E711" s="83" t="s">
        <v>186</v>
      </c>
      <c r="F711" s="84" t="s">
        <v>230</v>
      </c>
      <c r="G711" s="84" t="s">
        <v>230</v>
      </c>
      <c r="H711" s="70">
        <f t="shared" si="11"/>
        <v>708</v>
      </c>
      <c r="I711" s="70" t="s">
        <v>1066</v>
      </c>
    </row>
    <row r="712" spans="1:9">
      <c r="A712" s="70" t="s">
        <v>3380</v>
      </c>
      <c r="B712" s="70" t="s">
        <v>2747</v>
      </c>
      <c r="C712" s="82" t="s">
        <v>2744</v>
      </c>
      <c r="D712" s="83" t="s">
        <v>186</v>
      </c>
      <c r="E712" s="83" t="s">
        <v>186</v>
      </c>
      <c r="F712" s="84" t="s">
        <v>230</v>
      </c>
      <c r="G712" s="84" t="s">
        <v>230</v>
      </c>
      <c r="H712" s="70">
        <f t="shared" si="11"/>
        <v>709</v>
      </c>
      <c r="I712" s="70" t="s">
        <v>2743</v>
      </c>
    </row>
    <row r="713" spans="1:9">
      <c r="A713" s="70" t="s">
        <v>3346</v>
      </c>
      <c r="B713" s="70" t="s">
        <v>2880</v>
      </c>
      <c r="C713" s="82" t="s">
        <v>2881</v>
      </c>
      <c r="D713" s="83" t="s">
        <v>186</v>
      </c>
      <c r="E713" s="83" t="s">
        <v>186</v>
      </c>
      <c r="F713" s="84" t="s">
        <v>230</v>
      </c>
      <c r="G713" s="84" t="s">
        <v>230</v>
      </c>
      <c r="H713" s="70">
        <f t="shared" si="11"/>
        <v>710</v>
      </c>
      <c r="I713" s="70" t="s">
        <v>1066</v>
      </c>
    </row>
    <row r="714" spans="1:9">
      <c r="A714" s="70" t="s">
        <v>3347</v>
      </c>
      <c r="B714" s="70" t="s">
        <v>2882</v>
      </c>
      <c r="C714" s="82" t="s">
        <v>2884</v>
      </c>
      <c r="D714" s="83" t="s">
        <v>186</v>
      </c>
      <c r="E714" s="83" t="s">
        <v>186</v>
      </c>
      <c r="F714" s="84" t="s">
        <v>230</v>
      </c>
      <c r="G714" s="84" t="s">
        <v>230</v>
      </c>
      <c r="H714" s="70">
        <f t="shared" si="11"/>
        <v>711</v>
      </c>
      <c r="I714" s="70" t="s">
        <v>2743</v>
      </c>
    </row>
    <row r="715" spans="1:9">
      <c r="A715" s="70" t="s">
        <v>3345</v>
      </c>
      <c r="B715" s="70" t="s">
        <v>2887</v>
      </c>
      <c r="C715" s="82" t="s">
        <v>2883</v>
      </c>
      <c r="D715" s="83" t="s">
        <v>186</v>
      </c>
      <c r="E715" s="83" t="s">
        <v>186</v>
      </c>
      <c r="F715" s="84" t="s">
        <v>230</v>
      </c>
      <c r="G715" s="84" t="s">
        <v>230</v>
      </c>
      <c r="H715" s="70">
        <f t="shared" si="11"/>
        <v>712</v>
      </c>
      <c r="I715" s="70" t="s">
        <v>1066</v>
      </c>
    </row>
    <row r="716" spans="1:9">
      <c r="A716" s="70" t="s">
        <v>3348</v>
      </c>
      <c r="B716" s="70" t="s">
        <v>2888</v>
      </c>
      <c r="C716" s="82" t="s">
        <v>2885</v>
      </c>
      <c r="D716" s="83" t="s">
        <v>186</v>
      </c>
      <c r="E716" s="83" t="s">
        <v>186</v>
      </c>
      <c r="F716" s="84" t="s">
        <v>230</v>
      </c>
      <c r="G716" s="84" t="s">
        <v>230</v>
      </c>
      <c r="H716" s="70">
        <f t="shared" si="11"/>
        <v>713</v>
      </c>
      <c r="I716" s="70" t="s">
        <v>2743</v>
      </c>
    </row>
    <row r="717" spans="1:9">
      <c r="A717" s="37" t="s">
        <v>3363</v>
      </c>
      <c r="B717" s="37" t="s">
        <v>3361</v>
      </c>
      <c r="C717" s="15" t="s">
        <v>1046</v>
      </c>
      <c r="D717" s="74" t="s">
        <v>186</v>
      </c>
      <c r="E717" s="74" t="s">
        <v>186</v>
      </c>
      <c r="F717" s="67" t="s">
        <v>230</v>
      </c>
      <c r="G717" s="67" t="s">
        <v>230</v>
      </c>
      <c r="H717" s="37">
        <f t="shared" si="11"/>
        <v>714</v>
      </c>
      <c r="I717" s="37" t="s">
        <v>1066</v>
      </c>
    </row>
    <row r="718" spans="1:9">
      <c r="A718" s="37" t="s">
        <v>3364</v>
      </c>
      <c r="B718" s="37" t="s">
        <v>3376</v>
      </c>
      <c r="C718" s="15" t="s">
        <v>1078</v>
      </c>
      <c r="D718" s="74" t="s">
        <v>186</v>
      </c>
      <c r="E718" s="74" t="s">
        <v>186</v>
      </c>
      <c r="F718" s="67" t="s">
        <v>230</v>
      </c>
      <c r="G718" s="67" t="s">
        <v>230</v>
      </c>
      <c r="H718" s="37">
        <f t="shared" si="11"/>
        <v>715</v>
      </c>
      <c r="I718" s="37" t="s">
        <v>2743</v>
      </c>
    </row>
    <row r="719" spans="1:9">
      <c r="A719" s="37" t="s">
        <v>3365</v>
      </c>
      <c r="B719" s="37" t="s">
        <v>3362</v>
      </c>
      <c r="C719" s="15" t="s">
        <v>2745</v>
      </c>
      <c r="D719" s="74" t="s">
        <v>186</v>
      </c>
      <c r="E719" s="74" t="s">
        <v>186</v>
      </c>
      <c r="F719" s="67" t="s">
        <v>230</v>
      </c>
      <c r="G719" s="67" t="s">
        <v>230</v>
      </c>
      <c r="H719" s="37">
        <f t="shared" si="11"/>
        <v>716</v>
      </c>
      <c r="I719" s="37" t="s">
        <v>1066</v>
      </c>
    </row>
    <row r="720" spans="1:9">
      <c r="A720" s="37" t="s">
        <v>3368</v>
      </c>
      <c r="B720" s="37" t="s">
        <v>3375</v>
      </c>
      <c r="C720" s="15" t="s">
        <v>2744</v>
      </c>
      <c r="D720" s="74" t="s">
        <v>186</v>
      </c>
      <c r="E720" s="74" t="s">
        <v>186</v>
      </c>
      <c r="F720" s="67" t="s">
        <v>230</v>
      </c>
      <c r="G720" s="67" t="s">
        <v>230</v>
      </c>
      <c r="H720" s="37">
        <f t="shared" si="11"/>
        <v>717</v>
      </c>
      <c r="I720" s="37" t="s">
        <v>2743</v>
      </c>
    </row>
    <row r="721" spans="1:9">
      <c r="A721" s="37" t="s">
        <v>3369</v>
      </c>
      <c r="B721" s="37" t="s">
        <v>3371</v>
      </c>
      <c r="C721" s="15"/>
      <c r="D721" s="74" t="s">
        <v>186</v>
      </c>
      <c r="E721" s="74" t="s">
        <v>186</v>
      </c>
      <c r="F721" s="67" t="s">
        <v>230</v>
      </c>
      <c r="G721" s="67" t="s">
        <v>230</v>
      </c>
      <c r="H721" s="37">
        <f t="shared" si="11"/>
        <v>718</v>
      </c>
      <c r="I721" s="37" t="s">
        <v>3358</v>
      </c>
    </row>
    <row r="722" spans="1:9">
      <c r="A722" s="37" t="s">
        <v>3370</v>
      </c>
      <c r="B722" s="37" t="s">
        <v>3374</v>
      </c>
      <c r="C722" s="15"/>
      <c r="D722" s="74" t="s">
        <v>186</v>
      </c>
      <c r="E722" s="74" t="s">
        <v>186</v>
      </c>
      <c r="F722" s="67" t="s">
        <v>230</v>
      </c>
      <c r="G722" s="67" t="s">
        <v>230</v>
      </c>
      <c r="H722" s="37">
        <f t="shared" si="11"/>
        <v>719</v>
      </c>
      <c r="I722" s="37" t="s">
        <v>3359</v>
      </c>
    </row>
    <row r="723" spans="1:9">
      <c r="A723" s="37" t="s">
        <v>3367</v>
      </c>
      <c r="B723" s="37" t="s">
        <v>3372</v>
      </c>
      <c r="C723" s="15"/>
      <c r="D723" s="74" t="s">
        <v>186</v>
      </c>
      <c r="E723" s="74" t="s">
        <v>186</v>
      </c>
      <c r="F723" s="67" t="s">
        <v>230</v>
      </c>
      <c r="G723" s="67" t="s">
        <v>230</v>
      </c>
      <c r="H723" s="37">
        <f t="shared" si="11"/>
        <v>720</v>
      </c>
      <c r="I723" s="37" t="s">
        <v>3360</v>
      </c>
    </row>
    <row r="724" spans="1:9">
      <c r="A724" s="37" t="s">
        <v>3366</v>
      </c>
      <c r="B724" s="37" t="s">
        <v>3373</v>
      </c>
      <c r="C724" s="15"/>
      <c r="D724" s="74" t="s">
        <v>186</v>
      </c>
      <c r="E724" s="74" t="s">
        <v>186</v>
      </c>
      <c r="F724" s="67" t="s">
        <v>230</v>
      </c>
      <c r="G724" s="67" t="s">
        <v>230</v>
      </c>
      <c r="H724" s="37">
        <f t="shared" si="11"/>
        <v>721</v>
      </c>
      <c r="I724" s="37" t="s">
        <v>3359</v>
      </c>
    </row>
    <row r="725" spans="1:9">
      <c r="A725" s="37" t="s">
        <v>2751</v>
      </c>
      <c r="B725" s="37" t="s">
        <v>2764</v>
      </c>
      <c r="C725" s="37">
        <v>1</v>
      </c>
      <c r="D725" s="74">
        <v>0</v>
      </c>
      <c r="E725" s="37">
        <v>127</v>
      </c>
      <c r="F725" s="67" t="s">
        <v>230</v>
      </c>
      <c r="G725" s="67" t="s">
        <v>230</v>
      </c>
      <c r="H725" s="37">
        <f t="shared" si="11"/>
        <v>722</v>
      </c>
      <c r="I725" s="37"/>
    </row>
    <row r="726" spans="1:9">
      <c r="A726" s="37" t="s">
        <v>2759</v>
      </c>
      <c r="B726" s="37" t="s">
        <v>2755</v>
      </c>
      <c r="C726" s="37">
        <v>127</v>
      </c>
      <c r="D726" s="74">
        <v>0</v>
      </c>
      <c r="E726" s="37">
        <v>127</v>
      </c>
      <c r="F726" s="67" t="s">
        <v>230</v>
      </c>
      <c r="G726" s="67" t="s">
        <v>230</v>
      </c>
      <c r="H726" s="37">
        <f t="shared" si="11"/>
        <v>723</v>
      </c>
      <c r="I726" s="37"/>
    </row>
    <row r="727" spans="1:9">
      <c r="A727" s="37" t="s">
        <v>2754</v>
      </c>
      <c r="B727" s="37" t="s">
        <v>2756</v>
      </c>
      <c r="C727" s="81" t="s">
        <v>3213</v>
      </c>
      <c r="D727" s="74" t="s">
        <v>186</v>
      </c>
      <c r="E727" s="74" t="s">
        <v>186</v>
      </c>
      <c r="F727" s="67" t="s">
        <v>230</v>
      </c>
      <c r="G727" s="67" t="s">
        <v>230</v>
      </c>
      <c r="H727" s="37">
        <f t="shared" si="11"/>
        <v>724</v>
      </c>
      <c r="I727" s="37"/>
    </row>
    <row r="728" spans="1:9">
      <c r="A728" s="37" t="s">
        <v>2761</v>
      </c>
      <c r="B728" s="37" t="s">
        <v>2763</v>
      </c>
      <c r="C728" s="81" t="s">
        <v>2760</v>
      </c>
      <c r="D728" s="74" t="s">
        <v>186</v>
      </c>
      <c r="E728" s="74" t="s">
        <v>186</v>
      </c>
      <c r="F728" s="67" t="s">
        <v>230</v>
      </c>
      <c r="G728" s="67" t="s">
        <v>230</v>
      </c>
      <c r="H728" s="37">
        <f t="shared" si="11"/>
        <v>725</v>
      </c>
      <c r="I728" s="37" t="s">
        <v>2743</v>
      </c>
    </row>
    <row r="729" spans="1:9">
      <c r="A729" s="30" t="s">
        <v>4348</v>
      </c>
      <c r="B729" s="30" t="s">
        <v>4349</v>
      </c>
      <c r="C729" s="103" t="s">
        <v>4350</v>
      </c>
      <c r="D729" s="3" t="s">
        <v>186</v>
      </c>
      <c r="E729" s="3" t="s">
        <v>186</v>
      </c>
      <c r="F729" s="2" t="s">
        <v>230</v>
      </c>
      <c r="G729" s="2" t="s">
        <v>230</v>
      </c>
      <c r="H729" s="30">
        <f t="shared" si="11"/>
        <v>726</v>
      </c>
      <c r="I729" s="30" t="s">
        <v>4351</v>
      </c>
    </row>
    <row r="730" spans="1:9">
      <c r="A730" s="30" t="s">
        <v>4352</v>
      </c>
      <c r="B730" s="30" t="s">
        <v>4353</v>
      </c>
      <c r="C730" s="103" t="s">
        <v>4354</v>
      </c>
      <c r="D730" s="3" t="s">
        <v>186</v>
      </c>
      <c r="E730" s="3" t="s">
        <v>186</v>
      </c>
      <c r="F730" s="2" t="s">
        <v>230</v>
      </c>
      <c r="G730" s="2" t="s">
        <v>230</v>
      </c>
      <c r="H730" s="30">
        <f t="shared" si="11"/>
        <v>727</v>
      </c>
      <c r="I730" s="30" t="s">
        <v>4355</v>
      </c>
    </row>
    <row r="731" spans="1:9">
      <c r="A731" s="30" t="s">
        <v>4356</v>
      </c>
      <c r="B731" s="30" t="s">
        <v>4357</v>
      </c>
      <c r="C731" s="103" t="s">
        <v>4358</v>
      </c>
      <c r="D731" s="3" t="s">
        <v>186</v>
      </c>
      <c r="E731" s="3" t="s">
        <v>186</v>
      </c>
      <c r="F731" s="2" t="s">
        <v>230</v>
      </c>
      <c r="G731" s="2" t="s">
        <v>230</v>
      </c>
      <c r="H731" s="30">
        <f t="shared" si="11"/>
        <v>728</v>
      </c>
      <c r="I731" s="30" t="s">
        <v>4355</v>
      </c>
    </row>
    <row r="732" spans="1:9">
      <c r="A732" s="30" t="s">
        <v>4359</v>
      </c>
      <c r="B732" s="30" t="s">
        <v>4360</v>
      </c>
      <c r="C732" s="103" t="s">
        <v>4361</v>
      </c>
      <c r="D732" s="3" t="s">
        <v>186</v>
      </c>
      <c r="E732" s="3" t="s">
        <v>186</v>
      </c>
      <c r="F732" s="2" t="s">
        <v>230</v>
      </c>
      <c r="G732" s="2" t="s">
        <v>230</v>
      </c>
      <c r="H732" s="30">
        <f t="shared" si="11"/>
        <v>729</v>
      </c>
      <c r="I732" s="30" t="s">
        <v>4355</v>
      </c>
    </row>
    <row r="733" spans="1:9">
      <c r="A733" s="30" t="s">
        <v>4362</v>
      </c>
      <c r="B733" s="30" t="s">
        <v>4363</v>
      </c>
      <c r="C733" s="103" t="s">
        <v>4364</v>
      </c>
      <c r="D733" s="3" t="s">
        <v>186</v>
      </c>
      <c r="E733" s="3" t="s">
        <v>186</v>
      </c>
      <c r="F733" s="2" t="s">
        <v>230</v>
      </c>
      <c r="G733" s="2" t="s">
        <v>230</v>
      </c>
      <c r="H733" s="30">
        <f t="shared" si="11"/>
        <v>730</v>
      </c>
      <c r="I733" s="30" t="s">
        <v>4355</v>
      </c>
    </row>
    <row r="734" spans="1:9">
      <c r="A734" s="30" t="s">
        <v>4365</v>
      </c>
      <c r="B734" s="30" t="s">
        <v>4366</v>
      </c>
      <c r="C734" s="103" t="s">
        <v>4367</v>
      </c>
      <c r="D734" s="3" t="s">
        <v>186</v>
      </c>
      <c r="E734" s="3" t="s">
        <v>186</v>
      </c>
      <c r="F734" s="2" t="s">
        <v>230</v>
      </c>
      <c r="G734" s="2" t="s">
        <v>230</v>
      </c>
      <c r="H734" s="30">
        <f t="shared" si="11"/>
        <v>731</v>
      </c>
      <c r="I734" s="30" t="s">
        <v>4355</v>
      </c>
    </row>
    <row r="735" spans="1:9">
      <c r="A735" s="30" t="s">
        <v>4368</v>
      </c>
      <c r="B735" s="30" t="s">
        <v>4369</v>
      </c>
      <c r="C735" s="103">
        <v>5000</v>
      </c>
      <c r="D735" s="3">
        <v>0</v>
      </c>
      <c r="E735" s="3">
        <v>2147483647</v>
      </c>
      <c r="F735" s="2" t="s">
        <v>230</v>
      </c>
      <c r="G735" s="2" t="s">
        <v>230</v>
      </c>
      <c r="H735" s="30">
        <f t="shared" si="11"/>
        <v>732</v>
      </c>
      <c r="I735" s="30"/>
    </row>
    <row r="736" spans="1:9">
      <c r="A736" s="37" t="s">
        <v>2736</v>
      </c>
      <c r="B736" s="37" t="s">
        <v>2737</v>
      </c>
      <c r="C736" s="37">
        <v>0</v>
      </c>
      <c r="D736" s="37">
        <v>0</v>
      </c>
      <c r="E736" s="37">
        <v>1</v>
      </c>
      <c r="F736" s="67" t="s">
        <v>230</v>
      </c>
      <c r="G736" s="67" t="s">
        <v>1052</v>
      </c>
      <c r="H736" s="37">
        <f t="shared" si="11"/>
        <v>733</v>
      </c>
      <c r="I736" s="37"/>
    </row>
    <row r="737" spans="1:9">
      <c r="A737" s="37" t="s">
        <v>2783</v>
      </c>
      <c r="B737" s="37" t="s">
        <v>2794</v>
      </c>
      <c r="C737" s="37" t="s">
        <v>2859</v>
      </c>
      <c r="D737" s="74" t="s">
        <v>186</v>
      </c>
      <c r="E737" s="74" t="s">
        <v>186</v>
      </c>
      <c r="F737" s="67" t="s">
        <v>230</v>
      </c>
      <c r="G737" s="67" t="s">
        <v>230</v>
      </c>
      <c r="H737" s="37">
        <f t="shared" si="11"/>
        <v>734</v>
      </c>
      <c r="I737" s="37" t="s">
        <v>2782</v>
      </c>
    </row>
    <row r="738" spans="1:9">
      <c r="A738" s="37" t="s">
        <v>3218</v>
      </c>
      <c r="B738" s="37" t="s">
        <v>2795</v>
      </c>
      <c r="C738" s="74">
        <v>5</v>
      </c>
      <c r="D738" s="74">
        <v>0</v>
      </c>
      <c r="E738" s="74">
        <v>2147483647</v>
      </c>
      <c r="F738" s="67" t="s">
        <v>230</v>
      </c>
      <c r="G738" s="67" t="s">
        <v>230</v>
      </c>
      <c r="H738" s="37">
        <f t="shared" si="11"/>
        <v>735</v>
      </c>
      <c r="I738" s="37"/>
    </row>
    <row r="739" spans="1:9">
      <c r="A739" s="68" t="s">
        <v>4504</v>
      </c>
      <c r="B739" s="69" t="s">
        <v>2890</v>
      </c>
      <c r="C739" s="66" t="s">
        <v>812</v>
      </c>
      <c r="D739" s="66" t="s">
        <v>812</v>
      </c>
      <c r="E739" s="66" t="s">
        <v>846</v>
      </c>
      <c r="F739" s="78" t="s">
        <v>230</v>
      </c>
      <c r="G739" s="78" t="s">
        <v>1052</v>
      </c>
      <c r="H739" s="69">
        <f t="shared" si="11"/>
        <v>736</v>
      </c>
      <c r="I739" s="69" t="s">
        <v>2817</v>
      </c>
    </row>
    <row r="740" spans="1:9">
      <c r="A740" s="69" t="s">
        <v>2894</v>
      </c>
      <c r="B740" s="69" t="s">
        <v>2891</v>
      </c>
      <c r="C740" s="79" t="s">
        <v>2889</v>
      </c>
      <c r="D740" s="66" t="s">
        <v>186</v>
      </c>
      <c r="E740" s="66" t="s">
        <v>186</v>
      </c>
      <c r="F740" s="78" t="s">
        <v>230</v>
      </c>
      <c r="G740" s="78" t="s">
        <v>230</v>
      </c>
      <c r="H740" s="69">
        <f t="shared" si="11"/>
        <v>737</v>
      </c>
      <c r="I740" s="69" t="s">
        <v>2896</v>
      </c>
    </row>
    <row r="741" spans="1:9">
      <c r="A741" s="69" t="s">
        <v>2895</v>
      </c>
      <c r="B741" s="69" t="s">
        <v>2899</v>
      </c>
      <c r="C741" s="74" t="s">
        <v>186</v>
      </c>
      <c r="D741" s="66" t="s">
        <v>186</v>
      </c>
      <c r="E741" s="66" t="s">
        <v>186</v>
      </c>
      <c r="F741" s="78" t="s">
        <v>230</v>
      </c>
      <c r="G741" s="78" t="s">
        <v>230</v>
      </c>
      <c r="H741" s="69">
        <f t="shared" si="11"/>
        <v>738</v>
      </c>
      <c r="I741" s="69" t="s">
        <v>2896</v>
      </c>
    </row>
    <row r="742" spans="1:9">
      <c r="A742" s="69" t="s">
        <v>2934</v>
      </c>
      <c r="B742" s="69" t="s">
        <v>2933</v>
      </c>
      <c r="C742" s="79" t="s">
        <v>2935</v>
      </c>
      <c r="D742" s="66" t="s">
        <v>186</v>
      </c>
      <c r="E742" s="66" t="s">
        <v>186</v>
      </c>
      <c r="F742" s="78" t="s">
        <v>230</v>
      </c>
      <c r="G742" s="78" t="s">
        <v>230</v>
      </c>
      <c r="H742" s="69">
        <f t="shared" si="11"/>
        <v>739</v>
      </c>
      <c r="I742" s="69" t="s">
        <v>2896</v>
      </c>
    </row>
    <row r="743" spans="1:9">
      <c r="A743" s="69" t="s">
        <v>2902</v>
      </c>
      <c r="B743" s="69" t="s">
        <v>2900</v>
      </c>
      <c r="C743" s="79" t="s">
        <v>2901</v>
      </c>
      <c r="D743" s="66" t="s">
        <v>186</v>
      </c>
      <c r="E743" s="66" t="s">
        <v>186</v>
      </c>
      <c r="F743" s="78" t="s">
        <v>230</v>
      </c>
      <c r="G743" s="78" t="s">
        <v>230</v>
      </c>
      <c r="H743" s="69">
        <f t="shared" si="11"/>
        <v>740</v>
      </c>
      <c r="I743" s="69" t="s">
        <v>3428</v>
      </c>
    </row>
    <row r="744" spans="1:9">
      <c r="A744" s="69" t="s">
        <v>2903</v>
      </c>
      <c r="B744" s="69" t="s">
        <v>2904</v>
      </c>
      <c r="C744" s="79" t="s">
        <v>2905</v>
      </c>
      <c r="D744" s="66" t="s">
        <v>186</v>
      </c>
      <c r="E744" s="66" t="s">
        <v>186</v>
      </c>
      <c r="F744" s="78" t="s">
        <v>230</v>
      </c>
      <c r="G744" s="78" t="s">
        <v>230</v>
      </c>
      <c r="H744" s="69">
        <f t="shared" si="11"/>
        <v>741</v>
      </c>
      <c r="I744" s="69" t="s">
        <v>2906</v>
      </c>
    </row>
    <row r="745" spans="1:9">
      <c r="A745" s="69" t="s">
        <v>2908</v>
      </c>
      <c r="B745" s="69" t="s">
        <v>2909</v>
      </c>
      <c r="C745" s="73" t="s">
        <v>2907</v>
      </c>
      <c r="D745" s="66" t="s">
        <v>186</v>
      </c>
      <c r="E745" s="66" t="s">
        <v>186</v>
      </c>
      <c r="F745" s="78" t="s">
        <v>230</v>
      </c>
      <c r="G745" s="78" t="s">
        <v>230</v>
      </c>
      <c r="H745" s="69">
        <f t="shared" si="11"/>
        <v>742</v>
      </c>
      <c r="I745" s="69"/>
    </row>
    <row r="746" spans="1:9">
      <c r="A746" s="37" t="s">
        <v>2947</v>
      </c>
      <c r="B746" s="37" t="s">
        <v>3308</v>
      </c>
      <c r="C746" s="15" t="s">
        <v>2949</v>
      </c>
      <c r="D746" s="66" t="s">
        <v>186</v>
      </c>
      <c r="E746" s="66" t="s">
        <v>186</v>
      </c>
      <c r="F746" s="78" t="s">
        <v>230</v>
      </c>
      <c r="G746" s="78" t="s">
        <v>230</v>
      </c>
      <c r="H746" s="69">
        <f t="shared" si="11"/>
        <v>743</v>
      </c>
      <c r="I746" s="69" t="s">
        <v>2950</v>
      </c>
    </row>
    <row r="747" spans="1:9">
      <c r="A747" s="37" t="s">
        <v>2948</v>
      </c>
      <c r="B747" s="37" t="s">
        <v>2946</v>
      </c>
      <c r="C747" s="15" t="s">
        <v>2949</v>
      </c>
      <c r="D747" s="66" t="s">
        <v>186</v>
      </c>
      <c r="E747" s="66" t="s">
        <v>186</v>
      </c>
      <c r="F747" s="78" t="s">
        <v>230</v>
      </c>
      <c r="G747" s="78" t="s">
        <v>230</v>
      </c>
      <c r="H747" s="69">
        <f t="shared" si="11"/>
        <v>744</v>
      </c>
      <c r="I747" s="69" t="s">
        <v>2950</v>
      </c>
    </row>
    <row r="748" spans="1:9">
      <c r="A748" s="37" t="s">
        <v>3318</v>
      </c>
      <c r="B748" s="37" t="s">
        <v>3310</v>
      </c>
      <c r="C748" s="15">
        <v>1</v>
      </c>
      <c r="D748" s="66">
        <v>0</v>
      </c>
      <c r="E748" s="66">
        <v>1</v>
      </c>
      <c r="F748" s="78" t="s">
        <v>230</v>
      </c>
      <c r="G748" s="78" t="s">
        <v>230</v>
      </c>
      <c r="H748" s="69">
        <f t="shared" si="11"/>
        <v>745</v>
      </c>
      <c r="I748" s="69" t="s">
        <v>3312</v>
      </c>
    </row>
    <row r="749" spans="1:9">
      <c r="A749" s="37" t="s">
        <v>3319</v>
      </c>
      <c r="B749" s="37" t="s">
        <v>3309</v>
      </c>
      <c r="C749" s="40" t="s">
        <v>3315</v>
      </c>
      <c r="D749" s="66" t="s">
        <v>186</v>
      </c>
      <c r="E749" s="66" t="s">
        <v>186</v>
      </c>
      <c r="F749" s="78" t="s">
        <v>230</v>
      </c>
      <c r="G749" s="78" t="s">
        <v>230</v>
      </c>
      <c r="H749" s="69">
        <f t="shared" si="11"/>
        <v>746</v>
      </c>
      <c r="I749" s="69"/>
    </row>
    <row r="750" spans="1:9">
      <c r="A750" s="37" t="s">
        <v>3320</v>
      </c>
      <c r="B750" s="37" t="s">
        <v>3316</v>
      </c>
      <c r="C750" s="37">
        <v>60000</v>
      </c>
      <c r="D750" s="66">
        <v>0</v>
      </c>
      <c r="E750" s="74">
        <v>2147483647</v>
      </c>
      <c r="F750" s="78" t="s">
        <v>230</v>
      </c>
      <c r="G750" s="78" t="s">
        <v>230</v>
      </c>
      <c r="H750" s="69">
        <f t="shared" si="11"/>
        <v>747</v>
      </c>
      <c r="I750" s="69"/>
    </row>
    <row r="751" spans="1:9">
      <c r="A751" s="37" t="s">
        <v>3321</v>
      </c>
      <c r="B751" s="37" t="s">
        <v>3311</v>
      </c>
      <c r="C751" s="15">
        <v>1</v>
      </c>
      <c r="D751" s="66">
        <v>0</v>
      </c>
      <c r="E751" s="66">
        <v>1</v>
      </c>
      <c r="F751" s="78" t="s">
        <v>230</v>
      </c>
      <c r="G751" s="78" t="s">
        <v>230</v>
      </c>
      <c r="H751" s="69">
        <f t="shared" si="11"/>
        <v>748</v>
      </c>
      <c r="I751" s="69" t="s">
        <v>3312</v>
      </c>
    </row>
    <row r="752" spans="1:9">
      <c r="A752" s="37" t="s">
        <v>3322</v>
      </c>
      <c r="B752" s="37" t="s">
        <v>3313</v>
      </c>
      <c r="C752" s="37" t="s">
        <v>3314</v>
      </c>
      <c r="D752" s="66" t="s">
        <v>186</v>
      </c>
      <c r="E752" s="66" t="s">
        <v>186</v>
      </c>
      <c r="F752" s="78" t="s">
        <v>230</v>
      </c>
      <c r="G752" s="78" t="s">
        <v>230</v>
      </c>
      <c r="H752" s="69">
        <f t="shared" si="11"/>
        <v>749</v>
      </c>
      <c r="I752" s="69"/>
    </row>
    <row r="753" spans="1:9">
      <c r="A753" s="37" t="s">
        <v>3323</v>
      </c>
      <c r="B753" s="37" t="s">
        <v>3317</v>
      </c>
      <c r="C753" s="37">
        <v>300000</v>
      </c>
      <c r="D753" s="66">
        <v>0</v>
      </c>
      <c r="E753" s="74">
        <v>2147483647</v>
      </c>
      <c r="F753" s="78" t="s">
        <v>230</v>
      </c>
      <c r="G753" s="78" t="s">
        <v>230</v>
      </c>
      <c r="H753" s="69">
        <f t="shared" si="11"/>
        <v>750</v>
      </c>
      <c r="I753" s="69"/>
    </row>
    <row r="754" spans="1:9">
      <c r="A754" s="37" t="s">
        <v>3202</v>
      </c>
      <c r="B754" s="37" t="s">
        <v>3086</v>
      </c>
      <c r="C754" s="15">
        <v>2000</v>
      </c>
      <c r="D754" s="74">
        <v>0</v>
      </c>
      <c r="E754" s="74">
        <v>2147483647</v>
      </c>
      <c r="F754" s="78" t="s">
        <v>230</v>
      </c>
      <c r="G754" s="78" t="s">
        <v>230</v>
      </c>
      <c r="H754" s="69">
        <f t="shared" si="11"/>
        <v>751</v>
      </c>
      <c r="I754" s="69"/>
    </row>
    <row r="755" spans="1:9">
      <c r="A755" s="37" t="s">
        <v>3201</v>
      </c>
      <c r="B755" s="37" t="s">
        <v>3200</v>
      </c>
      <c r="C755" s="15">
        <v>0</v>
      </c>
      <c r="D755" s="74">
        <v>0</v>
      </c>
      <c r="E755" s="74">
        <v>2147483647</v>
      </c>
      <c r="F755" s="78" t="s">
        <v>230</v>
      </c>
      <c r="G755" s="78" t="s">
        <v>230</v>
      </c>
      <c r="H755" s="69">
        <f t="shared" si="11"/>
        <v>752</v>
      </c>
      <c r="I755" s="69"/>
    </row>
    <row r="756" spans="1:9">
      <c r="A756" s="37" t="s">
        <v>3191</v>
      </c>
      <c r="B756" s="37" t="s">
        <v>3193</v>
      </c>
      <c r="C756" s="15">
        <v>1</v>
      </c>
      <c r="D756" s="74">
        <v>0</v>
      </c>
      <c r="E756" s="66">
        <v>1</v>
      </c>
      <c r="F756" s="78" t="s">
        <v>230</v>
      </c>
      <c r="G756" s="78" t="s">
        <v>1052</v>
      </c>
      <c r="H756" s="69">
        <f t="shared" si="11"/>
        <v>753</v>
      </c>
      <c r="I756" s="69"/>
    </row>
    <row r="757" spans="1:9">
      <c r="A757" s="37" t="s">
        <v>3197</v>
      </c>
      <c r="B757" s="37" t="s">
        <v>3194</v>
      </c>
      <c r="C757" s="15" t="s">
        <v>3198</v>
      </c>
      <c r="D757" s="66" t="s">
        <v>186</v>
      </c>
      <c r="E757" s="66" t="s">
        <v>186</v>
      </c>
      <c r="F757" s="78" t="s">
        <v>230</v>
      </c>
      <c r="G757" s="78" t="s">
        <v>230</v>
      </c>
      <c r="H757" s="69">
        <f t="shared" si="11"/>
        <v>754</v>
      </c>
      <c r="I757" s="69"/>
    </row>
    <row r="758" spans="1:9">
      <c r="A758" s="37" t="s">
        <v>3196</v>
      </c>
      <c r="B758" s="37" t="s">
        <v>3195</v>
      </c>
      <c r="C758" s="15" t="s">
        <v>3199</v>
      </c>
      <c r="D758" s="66" t="s">
        <v>186</v>
      </c>
      <c r="E758" s="66" t="s">
        <v>186</v>
      </c>
      <c r="F758" s="78" t="s">
        <v>230</v>
      </c>
      <c r="G758" s="78" t="s">
        <v>230</v>
      </c>
      <c r="H758" s="69">
        <f t="shared" ref="H758:H783" si="12">ROW()-3</f>
        <v>755</v>
      </c>
      <c r="I758" s="69"/>
    </row>
    <row r="759" spans="1:9">
      <c r="A759" s="37" t="s">
        <v>3217</v>
      </c>
      <c r="B759" s="37" t="s">
        <v>3259</v>
      </c>
      <c r="C759" s="74">
        <v>5</v>
      </c>
      <c r="D759" s="74">
        <v>0</v>
      </c>
      <c r="E759" s="74">
        <v>2147483647</v>
      </c>
      <c r="F759" s="67" t="s">
        <v>230</v>
      </c>
      <c r="G759" s="67" t="s">
        <v>230</v>
      </c>
      <c r="H759" s="37">
        <f t="shared" si="12"/>
        <v>756</v>
      </c>
      <c r="I759" s="37"/>
    </row>
    <row r="760" spans="1:9">
      <c r="A760" s="71" t="s">
        <v>3643</v>
      </c>
      <c r="B760" s="71" t="s">
        <v>3262</v>
      </c>
      <c r="C760" s="85" t="s">
        <v>3640</v>
      </c>
      <c r="D760" s="86" t="s">
        <v>186</v>
      </c>
      <c r="E760" s="86" t="s">
        <v>186</v>
      </c>
      <c r="F760" s="87" t="s">
        <v>230</v>
      </c>
      <c r="G760" s="87" t="s">
        <v>230</v>
      </c>
      <c r="H760" s="71">
        <f t="shared" si="12"/>
        <v>757</v>
      </c>
      <c r="I760" s="37"/>
    </row>
    <row r="761" spans="1:9">
      <c r="A761" s="37" t="s">
        <v>3263</v>
      </c>
      <c r="B761" s="37" t="s">
        <v>3270</v>
      </c>
      <c r="C761" s="15">
        <v>15</v>
      </c>
      <c r="D761" s="74">
        <v>3</v>
      </c>
      <c r="E761" s="66">
        <v>30</v>
      </c>
      <c r="F761" s="67" t="s">
        <v>230</v>
      </c>
      <c r="G761" s="67" t="s">
        <v>1052</v>
      </c>
      <c r="H761" s="37">
        <f t="shared" si="12"/>
        <v>758</v>
      </c>
      <c r="I761" s="37" t="s">
        <v>3264</v>
      </c>
    </row>
    <row r="762" spans="1:9">
      <c r="A762" s="37" t="s">
        <v>3268</v>
      </c>
      <c r="B762" s="37" t="s">
        <v>3272</v>
      </c>
      <c r="C762" s="15" t="s">
        <v>3271</v>
      </c>
      <c r="D762" s="66" t="s">
        <v>186</v>
      </c>
      <c r="E762" s="66" t="s">
        <v>186</v>
      </c>
      <c r="F762" s="67" t="s">
        <v>230</v>
      </c>
      <c r="G762" s="67" t="s">
        <v>230</v>
      </c>
      <c r="H762" s="37">
        <f t="shared" si="12"/>
        <v>759</v>
      </c>
      <c r="I762" s="37"/>
    </row>
    <row r="763" spans="1:9">
      <c r="A763" s="37" t="s">
        <v>3269</v>
      </c>
      <c r="B763" s="37" t="s">
        <v>3273</v>
      </c>
      <c r="C763" s="15" t="s">
        <v>3271</v>
      </c>
      <c r="D763" s="66" t="s">
        <v>186</v>
      </c>
      <c r="E763" s="66" t="s">
        <v>186</v>
      </c>
      <c r="F763" s="67" t="s">
        <v>230</v>
      </c>
      <c r="G763" s="67" t="s">
        <v>230</v>
      </c>
      <c r="H763" s="37">
        <f t="shared" si="12"/>
        <v>760</v>
      </c>
      <c r="I763" s="37"/>
    </row>
    <row r="764" spans="1:9">
      <c r="A764" s="37" t="s">
        <v>3307</v>
      </c>
      <c r="B764" s="37" t="s">
        <v>3381</v>
      </c>
      <c r="C764" s="74">
        <v>0</v>
      </c>
      <c r="D764" s="74">
        <v>0</v>
      </c>
      <c r="E764" s="74">
        <v>1</v>
      </c>
      <c r="F764" s="67" t="s">
        <v>230</v>
      </c>
      <c r="G764" s="67" t="s">
        <v>1052</v>
      </c>
      <c r="H764" s="37">
        <f t="shared" si="12"/>
        <v>761</v>
      </c>
      <c r="I764" s="37"/>
    </row>
    <row r="765" spans="1:9">
      <c r="A765" s="37" t="s">
        <v>3403</v>
      </c>
      <c r="B765" s="37" t="s">
        <v>3404</v>
      </c>
      <c r="C765" s="74">
        <v>0</v>
      </c>
      <c r="D765" s="74">
        <v>0</v>
      </c>
      <c r="E765" s="74">
        <v>1</v>
      </c>
      <c r="F765" s="67" t="s">
        <v>230</v>
      </c>
      <c r="G765" s="67" t="s">
        <v>230</v>
      </c>
      <c r="H765" s="37">
        <f t="shared" si="12"/>
        <v>762</v>
      </c>
      <c r="I765" s="37" t="s">
        <v>3401</v>
      </c>
    </row>
    <row r="766" spans="1:9">
      <c r="A766" s="37" t="s">
        <v>3382</v>
      </c>
      <c r="B766" s="37" t="s">
        <v>3383</v>
      </c>
      <c r="C766" s="37"/>
      <c r="D766" s="66" t="s">
        <v>186</v>
      </c>
      <c r="E766" s="66" t="s">
        <v>186</v>
      </c>
      <c r="F766" s="67" t="s">
        <v>230</v>
      </c>
      <c r="G766" s="67" t="s">
        <v>230</v>
      </c>
      <c r="H766" s="37">
        <f t="shared" si="12"/>
        <v>763</v>
      </c>
      <c r="I766" s="37" t="s">
        <v>3401</v>
      </c>
    </row>
    <row r="767" spans="1:9">
      <c r="A767" s="37" t="s">
        <v>3445</v>
      </c>
      <c r="B767" s="37" t="s">
        <v>3402</v>
      </c>
      <c r="C767" s="37"/>
      <c r="D767" s="66" t="s">
        <v>186</v>
      </c>
      <c r="E767" s="66" t="s">
        <v>186</v>
      </c>
      <c r="F767" s="67" t="s">
        <v>230</v>
      </c>
      <c r="G767" s="67" t="s">
        <v>230</v>
      </c>
      <c r="H767" s="37">
        <f t="shared" si="12"/>
        <v>764</v>
      </c>
      <c r="I767" s="37" t="s">
        <v>3401</v>
      </c>
    </row>
    <row r="768" spans="1:9">
      <c r="A768" s="37" t="s">
        <v>3446</v>
      </c>
      <c r="B768" s="37" t="s">
        <v>3447</v>
      </c>
      <c r="C768" s="37">
        <v>3000</v>
      </c>
      <c r="D768" s="66">
        <v>0</v>
      </c>
      <c r="E768" s="74">
        <v>2147483647</v>
      </c>
      <c r="F768" s="67" t="s">
        <v>230</v>
      </c>
      <c r="G768" s="67" t="s">
        <v>230</v>
      </c>
      <c r="H768" s="37">
        <f t="shared" si="12"/>
        <v>765</v>
      </c>
      <c r="I768" s="37"/>
    </row>
    <row r="769" spans="1:12">
      <c r="A769" s="37" t="s">
        <v>3610</v>
      </c>
      <c r="B769" s="37" t="s">
        <v>3598</v>
      </c>
      <c r="C769" s="74">
        <v>0</v>
      </c>
      <c r="D769" s="74">
        <v>0</v>
      </c>
      <c r="E769" s="74">
        <v>1</v>
      </c>
      <c r="F769" s="67" t="s">
        <v>230</v>
      </c>
      <c r="G769" s="67" t="s">
        <v>1052</v>
      </c>
      <c r="H769" s="37">
        <f t="shared" si="12"/>
        <v>766</v>
      </c>
      <c r="I769" s="37"/>
    </row>
    <row r="770" spans="1:12">
      <c r="A770" s="37" t="s">
        <v>4226</v>
      </c>
      <c r="B770" s="37" t="s">
        <v>4227</v>
      </c>
      <c r="C770" s="74">
        <v>1</v>
      </c>
      <c r="D770" s="74">
        <v>0</v>
      </c>
      <c r="E770" s="74">
        <v>1</v>
      </c>
      <c r="F770" s="67" t="s">
        <v>230</v>
      </c>
      <c r="G770" s="67" t="s">
        <v>230</v>
      </c>
      <c r="H770" s="37">
        <f t="shared" si="12"/>
        <v>767</v>
      </c>
      <c r="I770" s="37"/>
      <c r="K770">
        <v>1</v>
      </c>
      <c r="L770" t="s">
        <v>3602</v>
      </c>
    </row>
    <row r="771" spans="1:12">
      <c r="A771" s="37" t="s">
        <v>3611</v>
      </c>
      <c r="B771" s="37" t="s">
        <v>3599</v>
      </c>
      <c r="C771" s="74">
        <v>0</v>
      </c>
      <c r="D771" s="74">
        <v>0</v>
      </c>
      <c r="E771" s="74">
        <v>1</v>
      </c>
      <c r="F771" s="67" t="s">
        <v>230</v>
      </c>
      <c r="G771" s="67" t="s">
        <v>1052</v>
      </c>
      <c r="H771" s="37">
        <f t="shared" si="12"/>
        <v>768</v>
      </c>
      <c r="I771" s="37"/>
      <c r="K771">
        <v>2</v>
      </c>
      <c r="L771" t="s">
        <v>3603</v>
      </c>
    </row>
    <row r="772" spans="1:12">
      <c r="A772" s="37" t="s">
        <v>3609</v>
      </c>
      <c r="B772" s="37" t="s">
        <v>3600</v>
      </c>
      <c r="C772" s="66" t="s">
        <v>186</v>
      </c>
      <c r="D772" s="66" t="s">
        <v>186</v>
      </c>
      <c r="E772" s="66" t="s">
        <v>186</v>
      </c>
      <c r="F772" s="67" t="s">
        <v>230</v>
      </c>
      <c r="G772" s="67" t="s">
        <v>1052</v>
      </c>
      <c r="H772" s="37">
        <f t="shared" si="12"/>
        <v>769</v>
      </c>
      <c r="I772" s="37" t="s">
        <v>3634</v>
      </c>
      <c r="J772" t="s">
        <v>3629</v>
      </c>
      <c r="K772">
        <v>4</v>
      </c>
      <c r="L772" t="s">
        <v>3604</v>
      </c>
    </row>
    <row r="773" spans="1:12">
      <c r="A773" s="37" t="s">
        <v>4224</v>
      </c>
      <c r="B773" s="37" t="s">
        <v>4225</v>
      </c>
      <c r="C773" s="66" t="s">
        <v>4234</v>
      </c>
      <c r="D773" s="66" t="s">
        <v>186</v>
      </c>
      <c r="E773" s="66" t="s">
        <v>186</v>
      </c>
      <c r="F773" s="67" t="s">
        <v>230</v>
      </c>
      <c r="G773" s="67" t="s">
        <v>230</v>
      </c>
      <c r="H773" s="37">
        <f t="shared" si="12"/>
        <v>770</v>
      </c>
      <c r="I773" s="37" t="s">
        <v>4229</v>
      </c>
      <c r="K773">
        <v>8</v>
      </c>
      <c r="L773" t="s">
        <v>3605</v>
      </c>
    </row>
    <row r="774" spans="1:12">
      <c r="A774" s="37" t="s">
        <v>3608</v>
      </c>
      <c r="B774" s="37" t="s">
        <v>3601</v>
      </c>
      <c r="C774" s="66" t="s">
        <v>186</v>
      </c>
      <c r="D774" s="66" t="s">
        <v>186</v>
      </c>
      <c r="E774" s="66" t="s">
        <v>186</v>
      </c>
      <c r="F774" s="67" t="s">
        <v>230</v>
      </c>
      <c r="G774" s="67" t="s">
        <v>1052</v>
      </c>
      <c r="H774" s="37">
        <f t="shared" si="12"/>
        <v>771</v>
      </c>
      <c r="I774" s="37" t="s">
        <v>3625</v>
      </c>
      <c r="K774">
        <v>8</v>
      </c>
      <c r="L774" t="s">
        <v>3605</v>
      </c>
    </row>
    <row r="775" spans="1:12">
      <c r="A775" s="37" t="s">
        <v>3627</v>
      </c>
      <c r="B775" s="37" t="s">
        <v>3633</v>
      </c>
      <c r="C775" s="66">
        <v>100</v>
      </c>
      <c r="D775" s="66">
        <v>1</v>
      </c>
      <c r="E775" s="66">
        <v>1000</v>
      </c>
      <c r="F775" s="67" t="s">
        <v>230</v>
      </c>
      <c r="G775" s="67" t="s">
        <v>230</v>
      </c>
      <c r="H775" s="37">
        <f t="shared" si="12"/>
        <v>772</v>
      </c>
      <c r="I775" s="37"/>
      <c r="K775">
        <v>16</v>
      </c>
      <c r="L775" t="s">
        <v>3606</v>
      </c>
    </row>
    <row r="776" spans="1:12">
      <c r="A776" s="37" t="s">
        <v>3626</v>
      </c>
      <c r="B776" s="37" t="s">
        <v>3628</v>
      </c>
      <c r="C776" s="37">
        <v>100</v>
      </c>
      <c r="D776" s="66">
        <v>1</v>
      </c>
      <c r="E776" s="74">
        <v>1000</v>
      </c>
      <c r="F776" s="67" t="s">
        <v>230</v>
      </c>
      <c r="G776" s="67" t="s">
        <v>230</v>
      </c>
      <c r="H776" s="37">
        <f t="shared" si="12"/>
        <v>773</v>
      </c>
      <c r="I776" s="37"/>
    </row>
    <row r="777" spans="1:12">
      <c r="A777" s="37" t="s">
        <v>3876</v>
      </c>
      <c r="B777" s="37" t="s">
        <v>3873</v>
      </c>
      <c r="C777" s="66">
        <v>1024</v>
      </c>
      <c r="D777" s="66">
        <v>0</v>
      </c>
      <c r="E777" s="66">
        <v>7780</v>
      </c>
      <c r="F777" s="67" t="s">
        <v>230</v>
      </c>
      <c r="G777" s="67" t="s">
        <v>230</v>
      </c>
      <c r="H777" s="37">
        <f t="shared" si="12"/>
        <v>774</v>
      </c>
      <c r="I777" s="37" t="s">
        <v>3866</v>
      </c>
    </row>
    <row r="778" spans="1:12">
      <c r="A778" s="37" t="s">
        <v>3875</v>
      </c>
      <c r="B778" s="37" t="s">
        <v>3874</v>
      </c>
      <c r="C778" s="37">
        <v>768</v>
      </c>
      <c r="D778" s="66">
        <v>0</v>
      </c>
      <c r="E778" s="74">
        <v>4320</v>
      </c>
      <c r="F778" s="67" t="s">
        <v>230</v>
      </c>
      <c r="G778" s="67" t="s">
        <v>230</v>
      </c>
      <c r="H778" s="37">
        <f t="shared" si="12"/>
        <v>775</v>
      </c>
      <c r="I778" s="37" t="s">
        <v>3866</v>
      </c>
    </row>
    <row r="779" spans="1:12">
      <c r="A779" s="37" t="s">
        <v>4129</v>
      </c>
      <c r="B779" s="37" t="s">
        <v>4132</v>
      </c>
      <c r="C779" s="66" t="s">
        <v>186</v>
      </c>
      <c r="D779" s="66" t="s">
        <v>186</v>
      </c>
      <c r="E779" s="66" t="s">
        <v>186</v>
      </c>
      <c r="F779" s="67" t="s">
        <v>230</v>
      </c>
      <c r="G779" s="67" t="s">
        <v>230</v>
      </c>
      <c r="H779" s="37">
        <f t="shared" si="12"/>
        <v>776</v>
      </c>
      <c r="I779" s="37" t="s">
        <v>3870</v>
      </c>
    </row>
    <row r="780" spans="1:12">
      <c r="A780" s="37" t="s">
        <v>4130</v>
      </c>
      <c r="B780" s="37" t="s">
        <v>4133</v>
      </c>
      <c r="C780" s="66">
        <v>32</v>
      </c>
      <c r="D780" s="66" t="s">
        <v>186</v>
      </c>
      <c r="E780" s="66" t="s">
        <v>186</v>
      </c>
      <c r="F780" s="67" t="s">
        <v>230</v>
      </c>
      <c r="G780" s="67" t="s">
        <v>230</v>
      </c>
      <c r="H780" s="37">
        <f t="shared" si="12"/>
        <v>777</v>
      </c>
      <c r="I780" s="37" t="s">
        <v>3871</v>
      </c>
    </row>
    <row r="781" spans="1:12">
      <c r="A781" s="37" t="s">
        <v>3864</v>
      </c>
      <c r="B781" s="37" t="s">
        <v>3867</v>
      </c>
      <c r="C781" s="66">
        <v>0</v>
      </c>
      <c r="D781" s="66">
        <v>0</v>
      </c>
      <c r="E781" s="66">
        <v>7780</v>
      </c>
      <c r="F781" s="67" t="s">
        <v>230</v>
      </c>
      <c r="G781" s="67" t="s">
        <v>1052</v>
      </c>
      <c r="H781" s="37">
        <f t="shared" si="12"/>
        <v>778</v>
      </c>
      <c r="I781" s="37" t="s">
        <v>3866</v>
      </c>
    </row>
    <row r="782" spans="1:12">
      <c r="A782" s="37" t="s">
        <v>3865</v>
      </c>
      <c r="B782" s="37" t="s">
        <v>3868</v>
      </c>
      <c r="C782" s="37">
        <v>0</v>
      </c>
      <c r="D782" s="66">
        <v>0</v>
      </c>
      <c r="E782" s="74">
        <v>4320</v>
      </c>
      <c r="F782" s="67" t="s">
        <v>230</v>
      </c>
      <c r="G782" s="67" t="s">
        <v>1052</v>
      </c>
      <c r="H782" s="37">
        <f t="shared" si="12"/>
        <v>779</v>
      </c>
      <c r="I782" s="37" t="s">
        <v>3866</v>
      </c>
    </row>
    <row r="783" spans="1:12">
      <c r="A783" s="37" t="s">
        <v>3869</v>
      </c>
      <c r="B783" s="37" t="s">
        <v>4134</v>
      </c>
      <c r="C783" s="66">
        <v>0</v>
      </c>
      <c r="D783" s="66">
        <v>0</v>
      </c>
      <c r="E783" s="66">
        <v>2048</v>
      </c>
      <c r="F783" s="67" t="s">
        <v>230</v>
      </c>
      <c r="G783" s="67" t="s">
        <v>1052</v>
      </c>
      <c r="H783" s="37">
        <f t="shared" si="12"/>
        <v>780</v>
      </c>
      <c r="I783" s="37" t="s">
        <v>3866</v>
      </c>
    </row>
    <row r="784" spans="1:12">
      <c r="A784" s="37" t="s">
        <v>3889</v>
      </c>
      <c r="B784" s="37" t="s">
        <v>3878</v>
      </c>
      <c r="C784" s="66" t="s">
        <v>812</v>
      </c>
      <c r="D784" s="66" t="s">
        <v>812</v>
      </c>
      <c r="E784" s="66" t="s">
        <v>3879</v>
      </c>
      <c r="F784" s="67" t="s">
        <v>230</v>
      </c>
      <c r="G784" s="67" t="s">
        <v>1052</v>
      </c>
      <c r="H784" s="37">
        <f t="shared" si="3"/>
        <v>781</v>
      </c>
      <c r="I784" s="37" t="s">
        <v>3880</v>
      </c>
    </row>
    <row r="785" spans="1:9">
      <c r="A785" s="37" t="s">
        <v>3888</v>
      </c>
      <c r="B785" s="37" t="s">
        <v>3882</v>
      </c>
      <c r="C785" s="66">
        <v>20</v>
      </c>
      <c r="D785" s="66">
        <v>0</v>
      </c>
      <c r="E785" s="66">
        <v>1024</v>
      </c>
      <c r="F785" s="67" t="s">
        <v>230</v>
      </c>
      <c r="G785" s="67" t="s">
        <v>230</v>
      </c>
      <c r="H785" s="37">
        <f t="shared" si="3"/>
        <v>782</v>
      </c>
      <c r="I785" s="37"/>
    </row>
    <row r="786" spans="1:9" ht="13.5" customHeight="1">
      <c r="A786" s="37" t="s">
        <v>3890</v>
      </c>
      <c r="B786" s="37" t="s">
        <v>3886</v>
      </c>
      <c r="C786" s="66">
        <v>50</v>
      </c>
      <c r="D786" s="66">
        <v>0</v>
      </c>
      <c r="E786" s="74">
        <v>65535</v>
      </c>
      <c r="F786" s="67" t="s">
        <v>230</v>
      </c>
      <c r="G786" s="67" t="s">
        <v>230</v>
      </c>
      <c r="H786" s="37">
        <f t="shared" si="3"/>
        <v>783</v>
      </c>
      <c r="I786" s="37"/>
    </row>
    <row r="787" spans="1:9">
      <c r="A787" s="37" t="s">
        <v>3891</v>
      </c>
      <c r="B787" s="37" t="s">
        <v>3892</v>
      </c>
      <c r="C787" s="66">
        <v>3</v>
      </c>
      <c r="D787" s="66">
        <v>0</v>
      </c>
      <c r="E787" s="66">
        <v>1024</v>
      </c>
      <c r="F787" s="67" t="s">
        <v>230</v>
      </c>
      <c r="G787" s="67" t="s">
        <v>230</v>
      </c>
      <c r="H787" s="37">
        <f t="shared" si="3"/>
        <v>784</v>
      </c>
      <c r="I787" s="37" t="s">
        <v>3893</v>
      </c>
    </row>
    <row r="788" spans="1:9" ht="27">
      <c r="A788" s="37" t="s">
        <v>3887</v>
      </c>
      <c r="B788" s="37" t="s">
        <v>3885</v>
      </c>
      <c r="C788" s="66" t="s">
        <v>186</v>
      </c>
      <c r="D788" s="66" t="s">
        <v>186</v>
      </c>
      <c r="E788" s="66" t="s">
        <v>186</v>
      </c>
      <c r="F788" s="67" t="s">
        <v>230</v>
      </c>
      <c r="G788" s="67" t="s">
        <v>1052</v>
      </c>
      <c r="H788" s="37">
        <f t="shared" si="3"/>
        <v>785</v>
      </c>
      <c r="I788" s="45" t="s">
        <v>3881</v>
      </c>
    </row>
    <row r="789" spans="1:9">
      <c r="A789" s="37" t="s">
        <v>3887</v>
      </c>
      <c r="B789" s="37" t="s">
        <v>3894</v>
      </c>
      <c r="C789" s="66" t="s">
        <v>186</v>
      </c>
      <c r="D789" s="66" t="s">
        <v>186</v>
      </c>
      <c r="E789" s="66" t="s">
        <v>186</v>
      </c>
      <c r="F789" s="67" t="s">
        <v>230</v>
      </c>
      <c r="G789" s="67" t="s">
        <v>1052</v>
      </c>
      <c r="H789" s="37">
        <f t="shared" si="3"/>
        <v>786</v>
      </c>
      <c r="I789" s="64"/>
    </row>
    <row r="790" spans="1:9">
      <c r="A790" s="37" t="s">
        <v>3887</v>
      </c>
      <c r="B790" s="37" t="s">
        <v>3895</v>
      </c>
      <c r="C790" s="66" t="s">
        <v>186</v>
      </c>
      <c r="D790" s="66" t="s">
        <v>186</v>
      </c>
      <c r="E790" s="66" t="s">
        <v>186</v>
      </c>
      <c r="F790" s="67" t="s">
        <v>230</v>
      </c>
      <c r="G790" s="67" t="s">
        <v>1052</v>
      </c>
      <c r="H790" s="37">
        <f t="shared" si="3"/>
        <v>787</v>
      </c>
      <c r="I790" s="65"/>
    </row>
    <row r="791" spans="1:9">
      <c r="A791" s="37" t="s">
        <v>4233</v>
      </c>
      <c r="B791" s="72" t="s">
        <v>4228</v>
      </c>
      <c r="C791" s="88">
        <v>0</v>
      </c>
      <c r="D791" s="88">
        <v>0</v>
      </c>
      <c r="E791" s="88">
        <v>1</v>
      </c>
      <c r="F791" s="67" t="s">
        <v>230</v>
      </c>
      <c r="G791" s="67" t="s">
        <v>1052</v>
      </c>
      <c r="H791" s="37">
        <f t="shared" si="3"/>
        <v>788</v>
      </c>
      <c r="I791" s="37"/>
    </row>
    <row r="792" spans="1:9">
      <c r="A792" s="37" t="s">
        <v>4244</v>
      </c>
      <c r="B792" s="72" t="s">
        <v>4246</v>
      </c>
      <c r="C792" s="88" t="s">
        <v>186</v>
      </c>
      <c r="D792" s="88" t="s">
        <v>186</v>
      </c>
      <c r="E792" s="88" t="s">
        <v>186</v>
      </c>
      <c r="F792" s="67" t="s">
        <v>230</v>
      </c>
      <c r="G792" s="67" t="s">
        <v>1052</v>
      </c>
      <c r="H792" s="37">
        <f t="shared" si="3"/>
        <v>789</v>
      </c>
      <c r="I792" s="37"/>
    </row>
    <row r="793" spans="1:9">
      <c r="A793" s="37" t="s">
        <v>4245</v>
      </c>
      <c r="B793" s="72" t="s">
        <v>4243</v>
      </c>
      <c r="C793" s="74">
        <v>3128</v>
      </c>
      <c r="D793" s="74">
        <v>1</v>
      </c>
      <c r="E793" s="74">
        <v>65535</v>
      </c>
      <c r="F793" s="67" t="s">
        <v>230</v>
      </c>
      <c r="G793" s="67" t="s">
        <v>1052</v>
      </c>
      <c r="H793" s="37">
        <f t="shared" si="3"/>
        <v>790</v>
      </c>
      <c r="I793" s="37"/>
    </row>
    <row r="794" spans="1:9">
      <c r="A794" s="37" t="s">
        <v>4239</v>
      </c>
      <c r="B794" s="72" t="s">
        <v>4237</v>
      </c>
      <c r="C794" s="74" t="s">
        <v>4236</v>
      </c>
      <c r="D794" s="88" t="s">
        <v>186</v>
      </c>
      <c r="E794" s="88" t="s">
        <v>186</v>
      </c>
      <c r="F794" s="67" t="s">
        <v>230</v>
      </c>
      <c r="G794" s="67" t="s">
        <v>1052</v>
      </c>
      <c r="H794" s="37">
        <f t="shared" si="3"/>
        <v>791</v>
      </c>
      <c r="I794" s="37" t="s">
        <v>4241</v>
      </c>
    </row>
    <row r="795" spans="1:9">
      <c r="A795" s="37" t="s">
        <v>4240</v>
      </c>
      <c r="B795" s="72" t="s">
        <v>4238</v>
      </c>
      <c r="C795" s="88" t="s">
        <v>186</v>
      </c>
      <c r="D795" s="88" t="s">
        <v>186</v>
      </c>
      <c r="E795" s="88" t="s">
        <v>186</v>
      </c>
      <c r="F795" s="67" t="s">
        <v>230</v>
      </c>
      <c r="G795" s="67" t="s">
        <v>1052</v>
      </c>
      <c r="H795" s="37">
        <f t="shared" si="3"/>
        <v>792</v>
      </c>
      <c r="I795" s="37" t="s">
        <v>4241</v>
      </c>
    </row>
    <row r="796" spans="1:9" ht="66.75" customHeight="1">
      <c r="A796" s="69" t="s">
        <v>4270</v>
      </c>
      <c r="B796" s="72" t="s">
        <v>4269</v>
      </c>
      <c r="C796" s="89" t="str">
        <f>"0x09:Power-On Hours
0x0C:Power Cycle Count
0xC2:Temperature"</f>
        <v>0x09:Power-On Hours
0x0C:Power Cycle Count
0xC2:Temperature</v>
      </c>
      <c r="D796" s="88" t="s">
        <v>186</v>
      </c>
      <c r="E796" s="88" t="s">
        <v>186</v>
      </c>
      <c r="F796" s="67" t="s">
        <v>230</v>
      </c>
      <c r="G796" s="78" t="s">
        <v>230</v>
      </c>
      <c r="H796" s="37">
        <f t="shared" si="3"/>
        <v>793</v>
      </c>
      <c r="I796" s="37" t="s">
        <v>4272</v>
      </c>
    </row>
    <row r="797" spans="1:9" ht="66.75" customHeight="1">
      <c r="A797" s="69" t="s">
        <v>4281</v>
      </c>
      <c r="B797" s="72" t="s">
        <v>4280</v>
      </c>
      <c r="C797" s="89" t="s">
        <v>4279</v>
      </c>
      <c r="D797" s="88" t="s">
        <v>186</v>
      </c>
      <c r="E797" s="88" t="s">
        <v>186</v>
      </c>
      <c r="F797" s="67" t="s">
        <v>230</v>
      </c>
      <c r="G797" s="78" t="s">
        <v>230</v>
      </c>
      <c r="H797" s="37">
        <f t="shared" si="3"/>
        <v>794</v>
      </c>
      <c r="I797" s="37"/>
    </row>
    <row r="798" spans="1:9" ht="66.75" customHeight="1">
      <c r="A798" s="69" t="s">
        <v>4284</v>
      </c>
      <c r="B798" s="72" t="s">
        <v>4282</v>
      </c>
      <c r="C798" s="89" t="s">
        <v>4283</v>
      </c>
      <c r="D798" s="88" t="s">
        <v>186</v>
      </c>
      <c r="E798" s="88" t="s">
        <v>186</v>
      </c>
      <c r="F798" s="67" t="s">
        <v>230</v>
      </c>
      <c r="G798" s="78" t="s">
        <v>230</v>
      </c>
      <c r="H798" s="37">
        <f t="shared" si="3"/>
        <v>795</v>
      </c>
      <c r="I798" s="37"/>
    </row>
    <row r="799" spans="1:9">
      <c r="A799" s="69" t="s">
        <v>4298</v>
      </c>
      <c r="B799" s="72" t="s">
        <v>4287</v>
      </c>
      <c r="C799" s="89" t="s">
        <v>4288</v>
      </c>
      <c r="D799" s="88" t="s">
        <v>186</v>
      </c>
      <c r="E799" s="88" t="s">
        <v>186</v>
      </c>
      <c r="F799" s="67" t="s">
        <v>230</v>
      </c>
      <c r="G799" s="78" t="s">
        <v>230</v>
      </c>
      <c r="H799" s="37">
        <f t="shared" si="3"/>
        <v>796</v>
      </c>
      <c r="I799" s="37"/>
    </row>
    <row r="800" spans="1:9">
      <c r="A800" s="69" t="s">
        <v>4297</v>
      </c>
      <c r="B800" s="72" t="s">
        <v>4304</v>
      </c>
      <c r="C800" s="89" t="s">
        <v>4294</v>
      </c>
      <c r="D800" s="88" t="s">
        <v>186</v>
      </c>
      <c r="E800" s="88" t="s">
        <v>186</v>
      </c>
      <c r="F800" s="67" t="s">
        <v>230</v>
      </c>
      <c r="G800" s="78" t="s">
        <v>230</v>
      </c>
      <c r="H800" s="37">
        <f t="shared" si="3"/>
        <v>797</v>
      </c>
      <c r="I800" s="37"/>
    </row>
    <row r="801" spans="1:9">
      <c r="A801" s="69" t="s">
        <v>4297</v>
      </c>
      <c r="B801" s="72" t="s">
        <v>4305</v>
      </c>
      <c r="C801" s="89" t="s">
        <v>4306</v>
      </c>
      <c r="D801" s="88" t="s">
        <v>186</v>
      </c>
      <c r="E801" s="88" t="s">
        <v>186</v>
      </c>
      <c r="F801" s="67" t="s">
        <v>230</v>
      </c>
      <c r="G801" s="78" t="s">
        <v>230</v>
      </c>
      <c r="H801" s="37">
        <f t="shared" si="3"/>
        <v>798</v>
      </c>
      <c r="I801" s="37"/>
    </row>
    <row r="802" spans="1:9">
      <c r="A802" s="69" t="s">
        <v>4301</v>
      </c>
      <c r="B802" s="72" t="s">
        <v>4291</v>
      </c>
      <c r="C802" s="89" t="s">
        <v>4293</v>
      </c>
      <c r="D802" s="88" t="s">
        <v>186</v>
      </c>
      <c r="E802" s="88" t="s">
        <v>186</v>
      </c>
      <c r="F802" s="67" t="s">
        <v>230</v>
      </c>
      <c r="G802" s="78" t="s">
        <v>230</v>
      </c>
      <c r="H802" s="37">
        <f t="shared" si="3"/>
        <v>799</v>
      </c>
      <c r="I802" s="37" t="s">
        <v>4302</v>
      </c>
    </row>
    <row r="803" spans="1:9">
      <c r="A803" s="69" t="s">
        <v>4300</v>
      </c>
      <c r="B803" s="72" t="s">
        <v>4289</v>
      </c>
      <c r="C803" s="89" t="s">
        <v>4295</v>
      </c>
      <c r="D803" s="88" t="s">
        <v>186</v>
      </c>
      <c r="E803" s="88" t="s">
        <v>186</v>
      </c>
      <c r="F803" s="67" t="s">
        <v>230</v>
      </c>
      <c r="G803" s="78" t="s">
        <v>230</v>
      </c>
      <c r="H803" s="37">
        <f t="shared" si="3"/>
        <v>800</v>
      </c>
      <c r="I803" s="37" t="s">
        <v>4302</v>
      </c>
    </row>
    <row r="804" spans="1:9">
      <c r="A804" s="69" t="s">
        <v>4299</v>
      </c>
      <c r="B804" s="72" t="s">
        <v>4292</v>
      </c>
      <c r="C804" s="89" t="s">
        <v>4296</v>
      </c>
      <c r="D804" s="88" t="s">
        <v>186</v>
      </c>
      <c r="E804" s="88" t="s">
        <v>186</v>
      </c>
      <c r="F804" s="67" t="s">
        <v>230</v>
      </c>
      <c r="G804" s="78" t="s">
        <v>230</v>
      </c>
      <c r="H804" s="37">
        <f t="shared" si="3"/>
        <v>801</v>
      </c>
      <c r="I804" s="37" t="s">
        <v>4303</v>
      </c>
    </row>
    <row r="805" spans="1:9" ht="81">
      <c r="A805" s="69" t="s">
        <v>4285</v>
      </c>
      <c r="B805" s="72" t="s">
        <v>4286</v>
      </c>
      <c r="C805" s="89">
        <v>0</v>
      </c>
      <c r="D805" s="88">
        <v>0</v>
      </c>
      <c r="E805" s="88">
        <v>4</v>
      </c>
      <c r="F805" s="67" t="s">
        <v>230</v>
      </c>
      <c r="G805" s="78" t="s">
        <v>230</v>
      </c>
      <c r="H805" s="37">
        <f t="shared" si="3"/>
        <v>802</v>
      </c>
      <c r="I805" s="89" t="s">
        <v>4290</v>
      </c>
    </row>
    <row r="806" spans="1:9" ht="27">
      <c r="A806" s="69" t="s">
        <v>4544</v>
      </c>
      <c r="B806" s="72" t="s">
        <v>4538</v>
      </c>
      <c r="C806" s="88" t="s">
        <v>186</v>
      </c>
      <c r="D806" s="66" t="s">
        <v>186</v>
      </c>
      <c r="E806" s="66" t="s">
        <v>186</v>
      </c>
      <c r="F806" s="78" t="s">
        <v>230</v>
      </c>
      <c r="G806" s="78" t="s">
        <v>230</v>
      </c>
      <c r="H806" s="37">
        <f t="shared" si="3"/>
        <v>803</v>
      </c>
      <c r="I806" s="89" t="s">
        <v>4547</v>
      </c>
    </row>
    <row r="807" spans="1:9">
      <c r="A807" s="69" t="s">
        <v>4544</v>
      </c>
      <c r="B807" s="72" t="s">
        <v>4540</v>
      </c>
      <c r="C807" s="88" t="s">
        <v>186</v>
      </c>
      <c r="D807" s="66" t="s">
        <v>186</v>
      </c>
      <c r="E807" s="66" t="s">
        <v>186</v>
      </c>
      <c r="F807" s="78" t="s">
        <v>230</v>
      </c>
      <c r="G807" s="78" t="s">
        <v>230</v>
      </c>
      <c r="H807" s="37">
        <f t="shared" si="3"/>
        <v>804</v>
      </c>
      <c r="I807" s="89"/>
    </row>
    <row r="808" spans="1:9" s="39" customFormat="1" ht="409.5">
      <c r="A808" s="69" t="s">
        <v>4262</v>
      </c>
      <c r="B808" s="69" t="s">
        <v>4259</v>
      </c>
      <c r="C808" s="73" t="str">
        <f>"0x01:RAW READ ERROR RATE
0x05:REALLOCATED BLOCK COUNT
0x09:POWER ON HOURS COUNT
0x0C:POWER CYCLE COUNT
0xB7:SATA DOWNSHIFT ERROR COUNT
0xC0:POWER OFF RETRACT COUNT
0xC2:DEVICE TEMPERATURE"&amp;CHAR(9)&amp;"DEVICE TEMPERATURE(NOW)"&amp;CHAR(9)&amp;"DEVICE TEMPERATURE(LOW)"&amp;CHAR(9)&amp;"DEVICE TEMPERATURE(HIGH)
0xC4:REALLOCATION EVENT COUNT
0xC5:CURRENT PENDING BLOCK COUNT
0xC7:ULTRA DMA CRC ERROR COUNT
0xE5:REPORTED UNCORRECTABLE COUNT
0xE8:DATA MOVED COUNT
0xEB:HOST TOTAL LBAS READ
0xEC:HOST TOTAL LBAS WRITTEN
0xED:EMERGENCY COUNT"
&amp;CHAR(10)&amp;"0xEE:GARBAGE COLLECTION COUNT
0xEF:DATA REFRESH COUNT
0xF1:PROGRAM ERASE COUNT MAX
0xF2:PROGRAM ERROR EVENT COUNT
0xF3:UNCORR EVENT COUNT
0xF4:ERASE ERROR EVENT COUNT
0xF6:FLASH TOTAL LBAS READ
0xF7:FLASH TOTAL LBAS WRITTEN
0xF8:ECC THRESHOLD2 EVENT COUNT"
&amp;CHAR(10)&amp;"0xF9:PROGRAM ERASE COUNT MIN
0xFB:STATIC WEAR LEVELING COUNT
0xFC:ECC THRESHOLD1 EVENT COUNT
0xFD:READ RETRY EVENT COUNT
0xFE:RESET DURING COMMAND
0xFF:PROGRAM ERASE COUNT AVG"</f>
        <v>0x01:RAW READ ERROR RATE
0x05:REALLOCATED BLOCK COUNT
0x09:POWER ON HOURS COUNT
0x0C:POWER CYCLE COUNT
0xB7:SATA DOWNSHIFT ERROR COUNT
0xC0:POWER OFF RETRACT COUNT
0xC2:DEVICE TEMPERATURE	DEVICE TEMPERATURE(NOW)	DEVICE TEMPERATURE(LOW)	DEVICE TEMPERATURE(HIGH)
0xC4:REALLOCATION EVENT COUNT
0xC5:CURRENT PENDING BLOCK COUNT
0xC7:ULTRA DMA CRC ERROR COUNT
0xE5:REPORTED UNCORRECTABLE COUNT
0xE8:DATA MOVED COUNT
0xEB:HOST TOTAL LBAS READ
0xEC:HOST TOTAL LBAS WRITTEN
0xED:EMERGENCY COUNT
0xEE:GARBAGE COLLECTION COUNT
0xEF:DATA REFRESH COUNT
0xF1:PROGRAM ERASE COUNT MAX
0xF2:PROGRAM ERROR EVENT COUNT
0xF3:UNCORR EVENT COUNT
0xF4:ERASE ERROR EVENT COUNT
0xF6:FLASH TOTAL LBAS READ
0xF7:FLASH TOTAL LBAS WRITTEN
0xF8:ECC THRESHOLD2 EVENT COUNT
0xF9:PROGRAM ERASE COUNT MIN
0xFB:STATIC WEAR LEVELING COUNT
0xFC:ECC THRESHOLD1 EVENT COUNT
0xFD:READ RETRY EVENT COUNT
0xFE:RESET DURING COMMAND
0xFF:PROGRAM ERASE COUNT AVG</v>
      </c>
      <c r="D808" s="66" t="s">
        <v>186</v>
      </c>
      <c r="E808" s="66" t="s">
        <v>186</v>
      </c>
      <c r="F808" s="78" t="s">
        <v>230</v>
      </c>
      <c r="G808" s="78" t="s">
        <v>230</v>
      </c>
      <c r="H808" s="37">
        <f t="shared" si="3"/>
        <v>805</v>
      </c>
      <c r="I808" s="108" t="s">
        <v>4539</v>
      </c>
    </row>
    <row r="809" spans="1:9" s="39" customFormat="1" ht="216">
      <c r="A809" s="69" t="s">
        <v>4262</v>
      </c>
      <c r="B809" s="69" t="s">
        <v>4260</v>
      </c>
      <c r="C809" s="90" t="str">
        <f>"0x05:Later Bad
0x09:Power On Hours
0x0C:Power Cycle Count
0xA3:Total Bad Block Count
0xA5:Max Erase Count
0xA7:Avg Erase Count
0xA9:Device Life
0xAA:Spare Block Count
0xAB:Program Fail Count
0xAC:Erase Fail Count
0xC0:Unexpected Power Loss Count"
&amp;CHAR(10)&amp;"0xC2:Temperature
0xE5:Flash ID
0xEB:Later Bad Block Read"&amp;CHAR(9)&amp;"Later Bad Block Write"&amp;CHAR(9)&amp;"Later Bad Block Erase
0xF1:Total LBAs Written
0xF2:Total LBAs Read"</f>
        <v>0x05:Later Bad
0x09:Power On Hours
0x0C:Power Cycle Count
0xA3:Total Bad Block Count
0xA5:Max Erase Count
0xA7:Avg Erase Count
0xA9:Device Life
0xAA:Spare Block Count
0xAB:Program Fail Count
0xAC:Erase Fail Count
0xC0:Unexpected Power Loss Count
0xC2:Temperature
0xE5:Flash ID
0xEB:Later Bad Block Read	Later Bad Block Write	Later Bad Block Erase
0xF1:Total LBAs Written
0xF2:Total LBAs Read</v>
      </c>
      <c r="D809" s="66" t="s">
        <v>186</v>
      </c>
      <c r="E809" s="66" t="s">
        <v>186</v>
      </c>
      <c r="F809" s="78" t="s">
        <v>230</v>
      </c>
      <c r="G809" s="78" t="s">
        <v>230</v>
      </c>
      <c r="H809" s="69">
        <f t="shared" si="3"/>
        <v>806</v>
      </c>
      <c r="I809" s="69"/>
    </row>
    <row r="810" spans="1:9" ht="27">
      <c r="A810" s="69" t="s">
        <v>4543</v>
      </c>
      <c r="B810" s="72" t="s">
        <v>4541</v>
      </c>
      <c r="C810" s="89" t="s">
        <v>4555</v>
      </c>
      <c r="D810" s="66" t="s">
        <v>186</v>
      </c>
      <c r="E810" s="66" t="s">
        <v>186</v>
      </c>
      <c r="F810" s="78" t="s">
        <v>230</v>
      </c>
      <c r="G810" s="78" t="s">
        <v>230</v>
      </c>
      <c r="H810" s="37">
        <f t="shared" si="3"/>
        <v>807</v>
      </c>
      <c r="I810" s="89" t="s">
        <v>4546</v>
      </c>
    </row>
    <row r="811" spans="1:9">
      <c r="A811" s="69" t="s">
        <v>4543</v>
      </c>
      <c r="B811" s="72" t="s">
        <v>4542</v>
      </c>
      <c r="C811" s="89" t="s">
        <v>4555</v>
      </c>
      <c r="D811" s="66" t="s">
        <v>186</v>
      </c>
      <c r="E811" s="66" t="s">
        <v>186</v>
      </c>
      <c r="F811" s="78" t="s">
        <v>230</v>
      </c>
      <c r="G811" s="78" t="s">
        <v>230</v>
      </c>
      <c r="H811" s="37">
        <f t="shared" si="3"/>
        <v>808</v>
      </c>
      <c r="I811" s="89"/>
    </row>
    <row r="812" spans="1:9">
      <c r="A812" s="69" t="s">
        <v>4543</v>
      </c>
      <c r="B812" s="72" t="s">
        <v>4563</v>
      </c>
      <c r="C812" s="89" t="s">
        <v>4545</v>
      </c>
      <c r="D812" s="66" t="s">
        <v>186</v>
      </c>
      <c r="E812" s="66" t="s">
        <v>186</v>
      </c>
      <c r="F812" s="78" t="s">
        <v>230</v>
      </c>
      <c r="G812" s="78" t="s">
        <v>230</v>
      </c>
      <c r="H812" s="37">
        <f t="shared" si="3"/>
        <v>809</v>
      </c>
      <c r="I812" s="89"/>
    </row>
    <row r="813" spans="1:9" ht="256.5">
      <c r="A813" s="69" t="s">
        <v>4263</v>
      </c>
      <c r="B813" s="69" t="s">
        <v>4264</v>
      </c>
      <c r="C813" s="73" t="str">
        <f>"0x05:Re-Assigned Sector Count
0x09:Power-on hours
0x0C:Power cycle count
0xAF:Program Fail Count (Worst case component)
0xB0:Erase Fail Count (Worst case component)"
&amp;CHAR(10)&amp;"0xB1:Wear Leveling Count
0xB2:Used Reserved Block Count (Worst case component)
0xB3:Used Reserved Block Count (SSD total)
0xB4:Unused Reserved Block Count (SSD total)
0xB5:Program Fail Count (SSD total)
0xB6:Erase Fail Count (SSD total)"
&amp;CHAR(10)&amp;"0xBB:Uncorrectable Error Count
0xC2:Temperature"&amp;CHAR(9)&amp;"Temperature"&amp;CHAR(9)&amp;""&amp;CHAR(9)&amp;"
0xC3:ECC Rate
0xC7:CRC Error Count
0xEE:Percentage P.E. Cycle Remaining
0xEF:Normalized Wear Cycle
0xF1:Total LBA Written
0xF2:Total LBA Read"</f>
        <v>0x05:Re-Assigned Sector Count
0x09:Power-on hours
0x0C:Power cycle count
0xAF:Program Fail Count (Worst case component)
0xB0:Erase Fail Count (Worst case component)
0xB1:Wear Leveling Count
0xB2:Used Reserved Block Count (Worst case component)
0xB3:Used Reserved Block Count (SSD total)
0xB4:Unused Reserved Block Count (SSD total)
0xB5:Program Fail Count (SSD total)
0xB6:Erase Fail Count (SSD total)
0xBB:Uncorrectable Error Count
0xC2:Temperature	Temperature		
0xC3:ECC Rate
0xC7:CRC Error Count
0xEE:Percentage P.E. Cycle Remaining
0xEF:Normalized Wear Cycle
0xF1:Total LBA Written
0xF2:Total LBA Read</v>
      </c>
      <c r="D813" s="66" t="s">
        <v>186</v>
      </c>
      <c r="E813" s="66" t="s">
        <v>186</v>
      </c>
      <c r="F813" s="78" t="s">
        <v>230</v>
      </c>
      <c r="G813" s="78" t="s">
        <v>230</v>
      </c>
      <c r="H813" s="69">
        <f t="shared" si="3"/>
        <v>810</v>
      </c>
      <c r="I813" s="108" t="s">
        <v>4562</v>
      </c>
    </row>
    <row r="814" spans="1:9" ht="297">
      <c r="A814" s="69" t="s">
        <v>4263</v>
      </c>
      <c r="B814" s="69" t="s">
        <v>4265</v>
      </c>
      <c r="C814" s="73" t="str">
        <f>"0x05:Re-Assigned Block Count
0x09:Power-on hours
0x0C:Power cycle count
0xA3:Maximum Erase Count
0xA7:SSD Protect Mode
0xA9:Unexpected Power Loss Count
0xAF:Program Fail Count (Worst case component)
0xB0:Erase Fail Count (Worst case component)"
&amp;CHAR(10)&amp;"0xB1:Wear Leveling Count
0xB2:Used Reserved Block Count (Worst case component)
0xB3:Used Reserved Block Count (SSD total)
0xB4:Unused Reserved Block Count (SSD total)
0xB5:Program Fail Count (SSD total)
0xB6:Erase Fail Count (SSD total)"
&amp;CHAR(10)&amp;"0xBB:Uncorrectable Error Count
0xC2:Temperature"&amp;CHAR(9)&amp;"Temperature"&amp;CHAR(9)&amp;""&amp;CHAR(9)&amp;"
0xC3:ECC Rate
0xC7:CRC Error Count
0xEE:Percentage P.E. Cycle Remaining
0xEF:Normalized Wear Cycle
0xF1:Total LBA Written
0xF2:Total LBA Read"</f>
        <v>0x05:Re-Assigned Block Count
0x09:Power-on hours
0x0C:Power cycle count
0xA3:Maximum Erase Count
0xA7:SSD Protect Mode
0xA9:Unexpected Power Loss Count
0xAF:Program Fail Count (Worst case component)
0xB0:Erase Fail Count (Worst case component)
0xB1:Wear Leveling Count
0xB2:Used Reserved Block Count (Worst case component)
0xB3:Used Reserved Block Count (SSD total)
0xB4:Unused Reserved Block Count (SSD total)
0xB5:Program Fail Count (SSD total)
0xB6:Erase Fail Count (SSD total)
0xBB:Uncorrectable Error Count
0xC2:Temperature	Temperature		
0xC3:ECC Rate
0xC7:CRC Error Count
0xEE:Percentage P.E. Cycle Remaining
0xEF:Normalized Wear Cycle
0xF1:Total LBA Written
0xF2:Total LBA Read</v>
      </c>
      <c r="D814" s="66" t="s">
        <v>186</v>
      </c>
      <c r="E814" s="66" t="s">
        <v>186</v>
      </c>
      <c r="F814" s="78" t="s">
        <v>230</v>
      </c>
      <c r="G814" s="78" t="s">
        <v>230</v>
      </c>
      <c r="H814" s="69">
        <f t="shared" si="3"/>
        <v>811</v>
      </c>
      <c r="I814" s="108" t="s">
        <v>4561</v>
      </c>
    </row>
    <row r="815" spans="1:9" s="39" customFormat="1" ht="270">
      <c r="A815" s="69" t="s">
        <v>4263</v>
      </c>
      <c r="B815" s="69" t="s">
        <v>4560</v>
      </c>
      <c r="C815" s="17" t="str">
        <f>"0x05:Re - allocated Sector Count
0x09:Power - On Hours Count
0x0C:Power Cycle Count
0xAF:Program Fail Count(Worst case component)
0xB1:Wear Leveling Count
0xB2:Used Reserved Block Count (Worst Case)
0xB3:Used Reserved Block Count (Total)"
&amp;CHAR(10)&amp;"0xB4:Unused Reserved Block Count (Total)
0xB5:Program Fail Count(Total)"&amp;"
0xB6:Erase Fail Count(Total)
0xBB:Uncorrectable Error Count
0xC2:Temperature"&amp;CHAR(9)&amp;"Current Temperature"&amp;CHAR(9)&amp;"Min Temperature in degrees Celsius"&amp;CHAR(9)&amp;"Max Temperature in degrees Celsius
0xC3:Hardware ECC Recovered"&amp;"
0xEE:Percentage Program Erase Cycle Consumed
0xEF:Dynamic SSD Life Threshold"&amp;CHAR(9)&amp;"Dynamic SSD Life Threshold (Current value)"&amp;CHAR(9)&amp;"Dynamic SSD Life Threshold (Worst value)"&amp;CHAR(9)&amp;"Dynamic SSD Life Threshold (Raw data)"&amp;"
0xF1:Total data host wrote
0xF2:Total data host read"</f>
        <v>0x05:Re - allocated Sector Count
0x09:Power - On Hours Count
0x0C:Power Cycle Count
0xAF:Program Fail Count(Worst case component)
0xB1:Wear Leveling Count
0xB2:Used Reserved Block Count (Worst Case)
0xB3:Used Reserved Block Count (Total)
0xB4:Unused Reserved Block Count (Total)
0xB5:Program Fail Count(Total)
0xB6:Erase Fail Count(Total)
0xBB:Uncorrectable Error Count
0xC2:Temperature	Current Temperature	Min Temperature in degrees Celsius	Max Temperature in degrees Celsius
0xC3:Hardware ECC Recovered
0xEE:Percentage Program Erase Cycle Consumed
0xEF:Dynamic SSD Life Threshold	Dynamic SSD Life Threshold (Current value)	Dynamic SSD Life Threshold (Worst value)	Dynamic SSD Life Threshold (Raw data)
0xF1:Total data host wrote
0xF2:Total data host read</v>
      </c>
      <c r="D815" s="66" t="s">
        <v>186</v>
      </c>
      <c r="E815" s="66" t="s">
        <v>186</v>
      </c>
      <c r="F815" s="78" t="s">
        <v>230</v>
      </c>
      <c r="G815" s="78" t="s">
        <v>230</v>
      </c>
      <c r="H815" s="69">
        <f t="shared" si="3"/>
        <v>812</v>
      </c>
      <c r="I815" s="108"/>
    </row>
    <row r="816" spans="1:9" ht="27">
      <c r="A816" s="69" t="s">
        <v>4556</v>
      </c>
      <c r="B816" s="72" t="s">
        <v>4548</v>
      </c>
      <c r="C816" s="88" t="s">
        <v>186</v>
      </c>
      <c r="D816" s="66" t="s">
        <v>186</v>
      </c>
      <c r="E816" s="66" t="s">
        <v>186</v>
      </c>
      <c r="F816" s="78" t="s">
        <v>230</v>
      </c>
      <c r="G816" s="78" t="s">
        <v>230</v>
      </c>
      <c r="H816" s="37">
        <f t="shared" si="3"/>
        <v>813</v>
      </c>
      <c r="I816" s="89" t="s">
        <v>4549</v>
      </c>
    </row>
    <row r="817" spans="1:9">
      <c r="A817" s="69" t="s">
        <v>4556</v>
      </c>
      <c r="B817" s="72" t="s">
        <v>4550</v>
      </c>
      <c r="C817" s="88" t="s">
        <v>186</v>
      </c>
      <c r="D817" s="66" t="s">
        <v>186</v>
      </c>
      <c r="E817" s="66" t="s">
        <v>186</v>
      </c>
      <c r="F817" s="78" t="s">
        <v>230</v>
      </c>
      <c r="G817" s="78" t="s">
        <v>230</v>
      </c>
      <c r="H817" s="37">
        <f t="shared" si="3"/>
        <v>814</v>
      </c>
      <c r="I817" s="89"/>
    </row>
    <row r="818" spans="1:9" s="39" customFormat="1" ht="189">
      <c r="A818" s="69" t="s">
        <v>4266</v>
      </c>
      <c r="B818" s="69" t="s">
        <v>4267</v>
      </c>
      <c r="C818" s="73" t="str">
        <f>"0x01:Read Error Rate
0x09:Power-On Hours
0x0C:Power Cycle Count
0xA2:Remaining Spare Blocks
0xA8:SATA PHY errors since last power on.
0xAA:Early Bad Blocks"&amp;CHAR(9)&amp; "Early Bad Blocks (early)"&amp;CHAR(9)&amp; ""&amp;CHAR(9)&amp;"Early Bad Blocks (later)
0xAD:Erase counts"&amp;CHAR(9)&amp;"Erase counts (max.)"&amp;CHAR(9)&amp;"Erase counts (average)
0xC0:Unsafe Shutdown Count
0xC2:Temperature"&amp;CHAR(9)&amp;"Temperature"&amp;CHAR(9)&amp;""&amp;CHAR(9)&amp;"
0xDA:Sum of all CRC errors.
0xE7:Percentage of life left
0xF1:Total Host Writes
0xF4:Average Erase Count
0xF5:Max erase count"</f>
        <v>0x01:Read Error Rate
0x09:Power-On Hours
0x0C:Power Cycle Count
0xA2:Remaining Spare Blocks
0xA8:SATA PHY errors since last power on.
0xAA:Early Bad Blocks	Early Bad Blocks (early)		Early Bad Blocks (later)
0xAD:Erase counts	Erase counts (max.)	Erase counts (average)
0xC0:Unsafe Shutdown Count
0xC2:Temperature	Temperature		
0xDA:Sum of all CRC errors.
0xE7:Percentage of life left
0xF1:Total Host Writes
0xF4:Average Erase Count
0xF5:Max erase count</v>
      </c>
      <c r="D818" s="66" t="s">
        <v>186</v>
      </c>
      <c r="E818" s="66" t="s">
        <v>186</v>
      </c>
      <c r="F818" s="78" t="s">
        <v>230</v>
      </c>
      <c r="G818" s="78" t="s">
        <v>230</v>
      </c>
      <c r="H818" s="69">
        <f t="shared" si="3"/>
        <v>815</v>
      </c>
      <c r="I818" s="69"/>
    </row>
    <row r="819" spans="1:9" ht="175.5">
      <c r="A819" s="69" t="s">
        <v>4266</v>
      </c>
      <c r="B819" s="69" t="s">
        <v>4268</v>
      </c>
      <c r="C819" s="17" t="str">
        <f>"0x01:Read Error Rate
0x09:Power-On Hours
0x0C:Power Cycle Count
0xA8:SATA PHY errors since last power on.
0xAA:Early Bad Blocks"&amp;CHAR(9)&amp;"Early Bad Blocks (early)"&amp;CHAR(9)&amp;""&amp;CHAR(9)&amp;"Early Bad Blocks (later)
0xAD:Erase counts"&amp;CHAR(9)&amp;"Erase counts (max.)"&amp;CHAR(9)&amp;"Erase counts (average)
0xC0:Unexpected Power Losses
0xC2:Temperature"&amp;CHAR(9)&amp;"Temperature"&amp;CHAR(9)&amp;""&amp;CHAR(9)&amp;"
0xDA:Sum of all CRC errors.
0xF1:Total Host Writes
0xA2:Remaining Spare Blocks
0xF4:Average Erase Count
0xF5:Max erase count"</f>
        <v>0x01:Read Error Rate
0x09:Power-On Hours
0x0C:Power Cycle Count
0xA8:SATA PHY errors since last power on.
0xAA:Early Bad Blocks	Early Bad Blocks (early)		Early Bad Blocks (later)
0xAD:Erase counts	Erase counts (max.)	Erase counts (average)
0xC0:Unexpected Power Losses
0xC2:Temperature	Temperature		
0xDA:Sum of all CRC errors.
0xF1:Total Host Writes
0xA2:Remaining Spare Blocks
0xF4:Average Erase Count
0xF5:Max erase count</v>
      </c>
      <c r="D819" s="66" t="s">
        <v>186</v>
      </c>
      <c r="E819" s="66" t="s">
        <v>186</v>
      </c>
      <c r="F819" s="78" t="s">
        <v>230</v>
      </c>
      <c r="G819" s="78" t="s">
        <v>230</v>
      </c>
      <c r="H819" s="69">
        <f t="shared" si="3"/>
        <v>816</v>
      </c>
      <c r="I819" s="37"/>
    </row>
    <row r="820" spans="1:9" ht="27">
      <c r="A820" s="69" t="s">
        <v>4557</v>
      </c>
      <c r="B820" s="72" t="s">
        <v>4551</v>
      </c>
      <c r="C820" s="88" t="s">
        <v>186</v>
      </c>
      <c r="D820" s="66" t="s">
        <v>186</v>
      </c>
      <c r="E820" s="66" t="s">
        <v>186</v>
      </c>
      <c r="F820" s="78" t="s">
        <v>230</v>
      </c>
      <c r="G820" s="78" t="s">
        <v>230</v>
      </c>
      <c r="H820" s="37">
        <f t="shared" si="3"/>
        <v>817</v>
      </c>
      <c r="I820" s="89" t="s">
        <v>4552</v>
      </c>
    </row>
    <row r="821" spans="1:9" ht="229.5">
      <c r="A821" s="69" t="s">
        <v>4370</v>
      </c>
      <c r="B821" s="69" t="s">
        <v>4371</v>
      </c>
      <c r="C821" s="17" t="str">
        <f>"0x01:Read Error Rate
0x09:Power-On Hours
0x0C:Power Cycle Count
0x94:RS retry count
0xA8:SATA PHY Errors Count
0xAC:Erase Failure Count
0xC0:Unexpected Power Loss Count
0xC2:Tempature"&amp;CHAR(9)&amp;"Tempature Current Temp."&amp;CHAR(9)&amp;"Tempature Min Temp."&amp;CHAR(9)&amp;"Tempature Max Temp.
0xDA:CRC Error Count.
0xE7:SSD life remaining
0xE9:NAND Write (GB)
0xF1:Host Write (GB)
0xF2:Host Read (GB)
0xF4:Avg Erase Count
0xF5:Max Erase Count
0xF6:Total Erase Count"</f>
        <v>0x01:Read Error Rate
0x09:Power-On Hours
0x0C:Power Cycle Count
0x94:RS retry count
0xA8:SATA PHY Errors Count
0xAC:Erase Failure Count
0xC0:Unexpected Power Loss Count
0xC2:Tempature	Tempature Current Temp.	Tempature Min Temp.	Tempature Max Temp.
0xDA:CRC Error Count.
0xE7:SSD life remaining
0xE9:NAND Write (GB)
0xF1:Host Write (GB)
0xF2:Host Read (GB)
0xF4:Avg Erase Count
0xF5:Max Erase Count
0xF6:Total Erase Count</v>
      </c>
      <c r="D821" s="66" t="s">
        <v>186</v>
      </c>
      <c r="E821" s="66" t="s">
        <v>186</v>
      </c>
      <c r="F821" s="78" t="s">
        <v>230</v>
      </c>
      <c r="G821" s="78" t="s">
        <v>230</v>
      </c>
      <c r="H821" s="69">
        <f t="shared" si="3"/>
        <v>818</v>
      </c>
      <c r="I821" s="37"/>
    </row>
    <row r="822" spans="1:9" ht="27">
      <c r="A822" s="69" t="s">
        <v>4558</v>
      </c>
      <c r="B822" s="72" t="s">
        <v>4553</v>
      </c>
      <c r="C822" s="88" t="s">
        <v>186</v>
      </c>
      <c r="D822" s="66" t="s">
        <v>186</v>
      </c>
      <c r="E822" s="66" t="s">
        <v>186</v>
      </c>
      <c r="F822" s="78" t="s">
        <v>230</v>
      </c>
      <c r="G822" s="78" t="s">
        <v>230</v>
      </c>
      <c r="H822" s="37">
        <f t="shared" si="3"/>
        <v>819</v>
      </c>
      <c r="I822" s="89" t="s">
        <v>4554</v>
      </c>
    </row>
    <row r="823" spans="1:9" ht="351">
      <c r="A823" s="69" t="s">
        <v>4491</v>
      </c>
      <c r="B823" s="69" t="s">
        <v>4492</v>
      </c>
      <c r="C823" s="107" t="str">
        <f>"0x01:Raw Read Error Rate
0x09:Power On Hours
0x0C:Power Cycle Count
0x0E:Device Capacity
0x0F:User Capacity
0x10:Initial Spare Blocks Available
0x11:Spare Blocks Remaining
0x64:Total Erase Count
0xA8:SATA PHY Error Count
0xAA:Bad Block count"&amp;CHAR(9)&amp;"Bad Block count Early Bad"&amp;CHAR(9)&amp;""&amp;CHAR(9)&amp;"Bad Block count Later Bad
0xAD:Erase count"&amp;CHAR(9)&amp;"Erase count Max Erase"&amp;CHAR(9)&amp;"Erase count Avg. Erase
0xAE:Unexpected Power Loss Count
0xAF:Power Failure Protection Status"&amp;CHAR(9)&amp;"Power Failure Protection Status Drive Status"&amp;CHAR(9)&amp;"Power Failure Protection Status Guaranteed Flush"&amp;CHAR(9)&amp;"Voltage Stabilizer Trigger Count
0xC0:Unexpected Power Loss Count
0xC2:Temperature"&amp;CHAR(9)&amp;"Temperature Current Temp."&amp;CHAR(9)&amp;"Temperature Min Temp."&amp;CHAR(9)&amp;"Temperature Max Temp.
0xCA:Percentage of Spares Remaining
0xDA:CRC error
0xE7:SSD life remaining
0xEA:Total NAND Read
0xEB:Total NAND Written
0xF1:Total Host Write
0xF2:Total Host Read"</f>
        <v>0x01:Raw Read Error Rate
0x09:Power On Hours
0x0C:Power Cycle Count
0x0E:Device Capacity
0x0F:User Capacity
0x10:Initial Spare Blocks Available
0x11:Spare Blocks Remaining
0x64:Total Erase Count
0xA8:SATA PHY Error Count
0xAA:Bad Block count	Bad Block count Early Bad		Bad Block count Later Bad
0xAD:Erase count	Erase count Max Erase	Erase count Avg. Erase
0xAE:Unexpected Power Loss Count
0xAF:Power Failure Protection Status	Power Failure Protection Status Drive Status	Power Failure Protection Status Guaranteed Flush	Voltage Stabilizer Trigger Count
0xC0:Unexpected Power Loss Count
0xC2:Temperature	Temperature Current Temp.	Temperature Min Temp.	Temperature Max Temp.
0xCA:Percentage of Spares Remaining
0xDA:CRC error
0xE7:SSD life remaining
0xEA:Total NAND Read
0xEB:Total NAND Written
0xF1:Total Host Write
0xF2:Total Host Read</v>
      </c>
      <c r="D823" s="66" t="s">
        <v>186</v>
      </c>
      <c r="E823" s="66" t="s">
        <v>186</v>
      </c>
      <c r="F823" s="78" t="s">
        <v>230</v>
      </c>
      <c r="G823" s="78" t="s">
        <v>230</v>
      </c>
      <c r="H823" s="69">
        <f t="shared" si="3"/>
        <v>820</v>
      </c>
      <c r="I823" s="37"/>
    </row>
    <row r="824" spans="1:9">
      <c r="A824" s="30" t="s">
        <v>4502</v>
      </c>
      <c r="B824" s="30" t="s">
        <v>4501</v>
      </c>
      <c r="C824" s="88">
        <v>0</v>
      </c>
      <c r="D824" s="88">
        <v>0</v>
      </c>
      <c r="E824" s="88">
        <v>1</v>
      </c>
      <c r="F824" s="67" t="s">
        <v>230</v>
      </c>
      <c r="G824" s="67" t="s">
        <v>230</v>
      </c>
      <c r="H824" s="69">
        <f t="shared" si="3"/>
        <v>821</v>
      </c>
      <c r="I824" s="30"/>
    </row>
    <row r="825" spans="1:9">
      <c r="A825" s="30" t="s">
        <v>4325</v>
      </c>
      <c r="B825" s="30" t="s">
        <v>4316</v>
      </c>
      <c r="C825" s="19">
        <v>0</v>
      </c>
      <c r="D825" s="3">
        <v>0</v>
      </c>
      <c r="E825" s="3">
        <v>10</v>
      </c>
      <c r="F825" s="78" t="s">
        <v>230</v>
      </c>
      <c r="G825" s="78" t="s">
        <v>4312</v>
      </c>
      <c r="H825" s="69">
        <f t="shared" si="3"/>
        <v>822</v>
      </c>
      <c r="I825" s="30" t="s">
        <v>4326</v>
      </c>
    </row>
    <row r="826" spans="1:9">
      <c r="A826" s="30" t="s">
        <v>4315</v>
      </c>
      <c r="B826" s="30" t="s">
        <v>4323</v>
      </c>
      <c r="C826" s="19" t="s">
        <v>4319</v>
      </c>
      <c r="D826" s="66" t="s">
        <v>186</v>
      </c>
      <c r="E826" s="66" t="s">
        <v>186</v>
      </c>
      <c r="F826" s="78" t="s">
        <v>230</v>
      </c>
      <c r="G826" s="78" t="s">
        <v>230</v>
      </c>
      <c r="H826" s="69">
        <f t="shared" si="3"/>
        <v>823</v>
      </c>
      <c r="I826" s="30"/>
    </row>
    <row r="827" spans="1:9">
      <c r="A827" s="30" t="s">
        <v>4321</v>
      </c>
      <c r="B827" s="30" t="s">
        <v>4324</v>
      </c>
      <c r="C827" s="19" t="s">
        <v>4320</v>
      </c>
      <c r="D827" s="66" t="s">
        <v>186</v>
      </c>
      <c r="E827" s="66" t="s">
        <v>186</v>
      </c>
      <c r="F827" s="78" t="s">
        <v>230</v>
      </c>
      <c r="G827" s="78" t="s">
        <v>230</v>
      </c>
      <c r="H827" s="69">
        <f t="shared" si="3"/>
        <v>824</v>
      </c>
      <c r="I827" s="30"/>
    </row>
    <row r="828" spans="1:9">
      <c r="A828" s="30" t="s">
        <v>4332</v>
      </c>
      <c r="B828" s="30" t="s">
        <v>4329</v>
      </c>
      <c r="C828" s="19" t="s">
        <v>4322</v>
      </c>
      <c r="D828" s="66" t="s">
        <v>186</v>
      </c>
      <c r="E828" s="66" t="s">
        <v>186</v>
      </c>
      <c r="F828" s="78" t="s">
        <v>230</v>
      </c>
      <c r="G828" s="78" t="s">
        <v>2864</v>
      </c>
      <c r="H828" s="69">
        <f t="shared" si="3"/>
        <v>825</v>
      </c>
      <c r="I828" s="30"/>
    </row>
    <row r="829" spans="1:9">
      <c r="A829" s="37" t="s">
        <v>4449</v>
      </c>
      <c r="B829" s="37" t="s">
        <v>4448</v>
      </c>
      <c r="C829" s="19" t="s">
        <v>4450</v>
      </c>
      <c r="D829" s="66" t="s">
        <v>186</v>
      </c>
      <c r="E829" s="66" t="s">
        <v>186</v>
      </c>
      <c r="F829" s="78" t="s">
        <v>230</v>
      </c>
      <c r="G829" s="78" t="s">
        <v>230</v>
      </c>
      <c r="H829" s="69">
        <f t="shared" si="3"/>
        <v>826</v>
      </c>
      <c r="I829" s="30"/>
    </row>
    <row r="830" spans="1:9" ht="27">
      <c r="A830" s="37" t="s">
        <v>4445</v>
      </c>
      <c r="B830" s="37" t="s">
        <v>4446</v>
      </c>
      <c r="C830" s="66" t="s">
        <v>186</v>
      </c>
      <c r="D830" s="66" t="s">
        <v>186</v>
      </c>
      <c r="E830" s="66" t="s">
        <v>186</v>
      </c>
      <c r="F830" s="78" t="s">
        <v>230</v>
      </c>
      <c r="G830" s="78" t="s">
        <v>2864</v>
      </c>
      <c r="H830" s="69">
        <f t="shared" ref="H830:H837" si="13">ROW()-3</f>
        <v>827</v>
      </c>
      <c r="I830" s="106" t="s">
        <v>4447</v>
      </c>
    </row>
    <row r="831" spans="1:9">
      <c r="A831" s="37" t="s">
        <v>4452</v>
      </c>
      <c r="B831" s="37" t="s">
        <v>4454</v>
      </c>
      <c r="C831" s="66" t="s">
        <v>4451</v>
      </c>
      <c r="D831" s="66" t="s">
        <v>186</v>
      </c>
      <c r="E831" s="66" t="s">
        <v>186</v>
      </c>
      <c r="F831" s="78" t="s">
        <v>230</v>
      </c>
      <c r="G831" s="78" t="s">
        <v>230</v>
      </c>
      <c r="H831" s="69">
        <f t="shared" si="13"/>
        <v>828</v>
      </c>
      <c r="I831" s="106"/>
    </row>
    <row r="832" spans="1:9">
      <c r="A832" s="37" t="s">
        <v>4453</v>
      </c>
      <c r="B832" s="37" t="s">
        <v>4455</v>
      </c>
      <c r="C832" s="66" t="s">
        <v>186</v>
      </c>
      <c r="D832" s="66" t="s">
        <v>186</v>
      </c>
      <c r="E832" s="66" t="s">
        <v>186</v>
      </c>
      <c r="F832" s="78" t="s">
        <v>230</v>
      </c>
      <c r="G832" s="78" t="s">
        <v>230</v>
      </c>
      <c r="H832" s="69">
        <f t="shared" si="13"/>
        <v>829</v>
      </c>
      <c r="I832" s="106"/>
    </row>
    <row r="833" spans="1:10">
      <c r="A833" s="30" t="s">
        <v>4457</v>
      </c>
      <c r="B833" s="30" t="s">
        <v>4456</v>
      </c>
      <c r="C833" s="66" t="s">
        <v>186</v>
      </c>
      <c r="D833" s="66" t="s">
        <v>186</v>
      </c>
      <c r="E833" s="66" t="s">
        <v>186</v>
      </c>
      <c r="F833" s="78" t="s">
        <v>230</v>
      </c>
      <c r="G833" s="78" t="s">
        <v>230</v>
      </c>
      <c r="H833" s="69">
        <f t="shared" si="13"/>
        <v>830</v>
      </c>
      <c r="I833" s="30" t="s">
        <v>4460</v>
      </c>
    </row>
    <row r="834" spans="1:10">
      <c r="A834" s="30" t="s">
        <v>4459</v>
      </c>
      <c r="B834" s="30" t="s">
        <v>4458</v>
      </c>
      <c r="C834" s="3" t="s">
        <v>4464</v>
      </c>
      <c r="D834" s="66" t="s">
        <v>186</v>
      </c>
      <c r="E834" s="66" t="s">
        <v>186</v>
      </c>
      <c r="F834" s="78" t="s">
        <v>230</v>
      </c>
      <c r="G834" s="78" t="s">
        <v>230</v>
      </c>
      <c r="H834" s="69">
        <f t="shared" si="13"/>
        <v>831</v>
      </c>
      <c r="I834" s="30"/>
    </row>
    <row r="835" spans="1:10">
      <c r="A835" s="30" t="s">
        <v>4462</v>
      </c>
      <c r="B835" s="30" t="s">
        <v>4461</v>
      </c>
      <c r="C835" s="3" t="s">
        <v>4463</v>
      </c>
      <c r="D835" s="66" t="s">
        <v>186</v>
      </c>
      <c r="E835" s="66" t="s">
        <v>186</v>
      </c>
      <c r="F835" s="78" t="s">
        <v>230</v>
      </c>
      <c r="G835" s="78" t="s">
        <v>230</v>
      </c>
      <c r="H835" s="69">
        <f t="shared" si="13"/>
        <v>832</v>
      </c>
      <c r="I835" s="30" t="s">
        <v>4460</v>
      </c>
    </row>
    <row r="836" spans="1:10">
      <c r="A836" s="37" t="s">
        <v>3888</v>
      </c>
      <c r="B836" s="37" t="s">
        <v>4475</v>
      </c>
      <c r="C836" s="66">
        <v>20</v>
      </c>
      <c r="D836" s="66">
        <v>0</v>
      </c>
      <c r="E836" s="66">
        <v>1024</v>
      </c>
      <c r="F836" s="67" t="s">
        <v>230</v>
      </c>
      <c r="G836" s="67" t="s">
        <v>230</v>
      </c>
      <c r="H836" s="37">
        <f t="shared" si="13"/>
        <v>833</v>
      </c>
      <c r="I836" s="37"/>
    </row>
    <row r="837" spans="1:10">
      <c r="A837" s="30" t="s">
        <v>4471</v>
      </c>
      <c r="B837" s="30" t="s">
        <v>4478</v>
      </c>
      <c r="C837" s="66" t="s">
        <v>186</v>
      </c>
      <c r="D837" s="66" t="s">
        <v>186</v>
      </c>
      <c r="E837" s="66" t="s">
        <v>186</v>
      </c>
      <c r="F837" s="78" t="s">
        <v>230</v>
      </c>
      <c r="G837" s="78" t="s">
        <v>2864</v>
      </c>
      <c r="H837" s="69">
        <f t="shared" si="13"/>
        <v>834</v>
      </c>
      <c r="I837" s="30" t="s">
        <v>4476</v>
      </c>
    </row>
    <row r="838" spans="1:10">
      <c r="A838" s="30"/>
      <c r="B838" s="30"/>
      <c r="C838" s="88"/>
      <c r="D838" s="88"/>
      <c r="E838" s="88"/>
      <c r="F838" s="67"/>
      <c r="G838" s="67"/>
      <c r="H838" s="30"/>
      <c r="I838" s="30"/>
    </row>
    <row r="839" spans="1:10">
      <c r="A839" s="30"/>
      <c r="B839" s="30"/>
      <c r="C839" s="3"/>
      <c r="D839" s="3"/>
      <c r="E839" s="3"/>
      <c r="F839" s="30"/>
      <c r="G839" s="30"/>
      <c r="H839" s="30"/>
      <c r="I839" s="30"/>
    </row>
    <row r="840" spans="1:10">
      <c r="A840" s="30"/>
      <c r="B840" s="30"/>
      <c r="C840" s="3"/>
      <c r="D840" s="3"/>
      <c r="E840" s="3"/>
      <c r="F840" s="30"/>
      <c r="G840" s="30"/>
      <c r="H840" s="30"/>
      <c r="I840" s="30"/>
    </row>
    <row r="841" spans="1:10">
      <c r="A841" s="30" t="s">
        <v>3230</v>
      </c>
      <c r="B841" s="30"/>
      <c r="C841" s="3"/>
      <c r="D841" s="3"/>
      <c r="E841" s="3"/>
      <c r="F841" s="30"/>
      <c r="G841" s="30"/>
      <c r="H841" s="30"/>
      <c r="I841" s="30"/>
    </row>
    <row r="842" spans="1:10">
      <c r="A842" s="30" t="s">
        <v>1093</v>
      </c>
      <c r="B842" s="30"/>
      <c r="C842" s="19"/>
      <c r="D842" s="3"/>
      <c r="E842" s="3"/>
      <c r="F842" s="2"/>
      <c r="G842" s="2"/>
      <c r="H842" s="30"/>
      <c r="I842" s="30"/>
    </row>
    <row r="843" spans="1:10">
      <c r="A843" s="20" t="s">
        <v>1060</v>
      </c>
      <c r="B843" s="21" t="s">
        <v>1050</v>
      </c>
      <c r="C843" s="22" t="s">
        <v>1051</v>
      </c>
      <c r="D843" s="22" t="s">
        <v>186</v>
      </c>
      <c r="E843" s="22" t="s">
        <v>186</v>
      </c>
      <c r="F843" s="23" t="s">
        <v>1052</v>
      </c>
      <c r="G843" s="23" t="s">
        <v>1052</v>
      </c>
      <c r="H843" s="20">
        <f t="shared" ref="H843:H852" si="14">ROW()-3</f>
        <v>840</v>
      </c>
      <c r="I843" s="21" t="s">
        <v>1053</v>
      </c>
    </row>
    <row r="844" spans="1:10">
      <c r="A844" s="24" t="s">
        <v>1061</v>
      </c>
      <c r="B844" s="24" t="s">
        <v>1054</v>
      </c>
      <c r="C844" s="25">
        <v>235</v>
      </c>
      <c r="D844" s="25">
        <v>-2147483648</v>
      </c>
      <c r="E844" s="25">
        <v>2147483647</v>
      </c>
      <c r="F844" s="26" t="s">
        <v>1052</v>
      </c>
      <c r="G844" s="26" t="s">
        <v>1052</v>
      </c>
      <c r="H844" s="20">
        <f t="shared" si="14"/>
        <v>841</v>
      </c>
      <c r="I844" s="24" t="s">
        <v>1055</v>
      </c>
    </row>
    <row r="845" spans="1:10">
      <c r="A845" s="24" t="s">
        <v>1062</v>
      </c>
      <c r="B845" s="24" t="s">
        <v>1056</v>
      </c>
      <c r="C845" s="25" t="s">
        <v>1057</v>
      </c>
      <c r="D845" s="25" t="s">
        <v>186</v>
      </c>
      <c r="E845" s="25" t="s">
        <v>186</v>
      </c>
      <c r="F845" s="26" t="s">
        <v>1052</v>
      </c>
      <c r="G845" s="26" t="s">
        <v>1052</v>
      </c>
      <c r="H845" s="20">
        <f t="shared" si="14"/>
        <v>842</v>
      </c>
      <c r="I845" s="27" t="s">
        <v>1058</v>
      </c>
    </row>
    <row r="846" spans="1:10">
      <c r="A846" s="24" t="s">
        <v>995</v>
      </c>
      <c r="B846" s="24" t="s">
        <v>1030</v>
      </c>
      <c r="C846" s="25" t="s">
        <v>1027</v>
      </c>
      <c r="D846" s="25" t="s">
        <v>186</v>
      </c>
      <c r="E846" s="25" t="s">
        <v>186</v>
      </c>
      <c r="F846" s="26" t="s">
        <v>230</v>
      </c>
      <c r="G846" s="26" t="s">
        <v>230</v>
      </c>
      <c r="H846" s="24">
        <f t="shared" si="14"/>
        <v>843</v>
      </c>
      <c r="I846" s="27" t="s">
        <v>1059</v>
      </c>
      <c r="J846" t="s">
        <v>3429</v>
      </c>
    </row>
    <row r="847" spans="1:10">
      <c r="A847" s="30"/>
      <c r="B847" s="30"/>
      <c r="C847" s="3"/>
      <c r="D847" s="3"/>
      <c r="E847" s="3"/>
      <c r="F847" s="30"/>
      <c r="G847" s="30"/>
      <c r="H847" s="30">
        <f t="shared" si="14"/>
        <v>844</v>
      </c>
      <c r="I847" s="30"/>
    </row>
    <row r="848" spans="1:10">
      <c r="A848" s="30"/>
      <c r="B848" s="30"/>
      <c r="C848" s="3"/>
      <c r="D848" s="3"/>
      <c r="E848" s="3"/>
      <c r="F848" s="30"/>
      <c r="G848" s="30"/>
      <c r="H848" s="30">
        <f t="shared" si="14"/>
        <v>845</v>
      </c>
      <c r="I848" s="30"/>
    </row>
    <row r="849" spans="1:9">
      <c r="A849" s="30"/>
      <c r="B849" s="30"/>
      <c r="C849" s="3"/>
      <c r="D849" s="3"/>
      <c r="E849" s="3"/>
      <c r="F849" s="30"/>
      <c r="G849" s="30"/>
      <c r="H849" s="30">
        <f t="shared" si="14"/>
        <v>846</v>
      </c>
      <c r="I849" s="30"/>
    </row>
    <row r="850" spans="1:9">
      <c r="A850" s="30"/>
      <c r="B850" s="30"/>
      <c r="C850" s="3"/>
      <c r="D850" s="3"/>
      <c r="E850" s="3"/>
      <c r="F850" s="30"/>
      <c r="G850" s="30"/>
      <c r="H850" s="30">
        <f t="shared" si="14"/>
        <v>847</v>
      </c>
      <c r="I850" s="30"/>
    </row>
    <row r="851" spans="1:9">
      <c r="A851" s="30"/>
      <c r="B851" s="30"/>
      <c r="C851" s="3"/>
      <c r="D851" s="3"/>
      <c r="E851" s="3"/>
      <c r="F851" s="30"/>
      <c r="G851" s="30"/>
      <c r="H851" s="30">
        <f t="shared" si="14"/>
        <v>848</v>
      </c>
      <c r="I851" s="30"/>
    </row>
    <row r="852" spans="1:9">
      <c r="A852" s="30"/>
      <c r="B852" s="30"/>
      <c r="C852" s="3"/>
      <c r="D852" s="3"/>
      <c r="E852" s="3"/>
      <c r="F852" s="30"/>
      <c r="G852" s="30"/>
      <c r="H852" s="30">
        <f t="shared" si="14"/>
        <v>849</v>
      </c>
      <c r="I852" s="30"/>
    </row>
  </sheetData>
  <phoneticPr fontId="1"/>
  <dataValidations count="1">
    <dataValidation type="list" allowBlank="1" showInputMessage="1" showErrorMessage="1" sqref="F842:G846 F4:G812 F813:G838" xr:uid="{00000000-0002-0000-0100-000000000000}">
      <formula1>"○,×"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I958"/>
  <sheetViews>
    <sheetView topLeftCell="A746" zoomScale="85" zoomScaleNormal="85" workbookViewId="0"/>
  </sheetViews>
  <sheetFormatPr defaultRowHeight="13.5"/>
  <cols>
    <col min="1" max="1" width="55.5" customWidth="1"/>
    <col min="2" max="2" width="40" bestFit="1" customWidth="1"/>
    <col min="3" max="3" width="28.125" style="4" customWidth="1"/>
    <col min="4" max="5" width="20.625" style="4" customWidth="1"/>
    <col min="6" max="6" width="11.125" customWidth="1"/>
    <col min="7" max="7" width="12.375" bestFit="1" customWidth="1"/>
    <col min="8" max="8" width="5.75" bestFit="1" customWidth="1"/>
    <col min="9" max="9" width="50.625" customWidth="1"/>
  </cols>
  <sheetData>
    <row r="1" spans="1:9">
      <c r="A1" s="34" t="s">
        <v>2797</v>
      </c>
      <c r="B1" s="30" t="s">
        <v>1099</v>
      </c>
      <c r="C1" s="34" t="s">
        <v>2796</v>
      </c>
      <c r="D1" s="30">
        <v>2</v>
      </c>
    </row>
    <row r="2" spans="1:9">
      <c r="D2" s="32"/>
    </row>
    <row r="3" spans="1:9" ht="40.5">
      <c r="A3" s="1" t="s">
        <v>1</v>
      </c>
      <c r="B3" s="1" t="s">
        <v>2</v>
      </c>
      <c r="C3" s="5" t="s">
        <v>3</v>
      </c>
      <c r="D3" s="5" t="s">
        <v>193</v>
      </c>
      <c r="E3" s="5" t="s">
        <v>194</v>
      </c>
      <c r="F3" s="28" t="s">
        <v>1089</v>
      </c>
      <c r="G3" s="29" t="s">
        <v>2777</v>
      </c>
      <c r="H3" s="29" t="s">
        <v>1092</v>
      </c>
      <c r="I3" s="1" t="s">
        <v>274</v>
      </c>
    </row>
    <row r="4" spans="1:9">
      <c r="A4" s="37" t="s">
        <v>3907</v>
      </c>
      <c r="B4" s="37" t="s">
        <v>3274</v>
      </c>
      <c r="C4" s="74">
        <v>-1</v>
      </c>
      <c r="D4" s="74">
        <v>-1</v>
      </c>
      <c r="E4" s="74">
        <v>1</v>
      </c>
      <c r="F4" s="67" t="s">
        <v>230</v>
      </c>
      <c r="G4" s="67" t="s">
        <v>1052</v>
      </c>
      <c r="H4" s="37">
        <f t="shared" ref="H4:H14" si="0">ROW()-3</f>
        <v>1</v>
      </c>
      <c r="I4" s="37" t="s">
        <v>3277</v>
      </c>
    </row>
    <row r="5" spans="1:9">
      <c r="A5" s="37" t="s">
        <v>3908</v>
      </c>
      <c r="B5" s="37" t="s">
        <v>2726</v>
      </c>
      <c r="C5" s="74">
        <v>0</v>
      </c>
      <c r="D5" s="74">
        <v>0</v>
      </c>
      <c r="E5" s="74">
        <v>604800000</v>
      </c>
      <c r="F5" s="67" t="s">
        <v>230</v>
      </c>
      <c r="G5" s="67" t="s">
        <v>1052</v>
      </c>
      <c r="H5" s="37">
        <f t="shared" si="0"/>
        <v>2</v>
      </c>
      <c r="I5" s="37"/>
    </row>
    <row r="6" spans="1:9">
      <c r="A6" s="37" t="s">
        <v>3909</v>
      </c>
      <c r="B6" s="37" t="s">
        <v>2730</v>
      </c>
      <c r="C6" s="74">
        <v>0</v>
      </c>
      <c r="D6" s="74">
        <v>0</v>
      </c>
      <c r="E6" s="74">
        <v>1</v>
      </c>
      <c r="F6" s="67" t="s">
        <v>230</v>
      </c>
      <c r="G6" s="67" t="s">
        <v>1052</v>
      </c>
      <c r="H6" s="37">
        <f t="shared" si="0"/>
        <v>3</v>
      </c>
      <c r="I6" s="37"/>
    </row>
    <row r="7" spans="1:9">
      <c r="A7" s="37" t="s">
        <v>3910</v>
      </c>
      <c r="B7" s="37" t="s">
        <v>2729</v>
      </c>
      <c r="C7" s="74">
        <v>2000</v>
      </c>
      <c r="D7" s="74">
        <v>0</v>
      </c>
      <c r="E7" s="74">
        <v>604800000</v>
      </c>
      <c r="F7" s="67" t="s">
        <v>230</v>
      </c>
      <c r="G7" s="67" t="s">
        <v>1052</v>
      </c>
      <c r="H7" s="37">
        <f t="shared" si="0"/>
        <v>4</v>
      </c>
      <c r="I7" s="37"/>
    </row>
    <row r="8" spans="1:9">
      <c r="A8" s="37" t="s">
        <v>3911</v>
      </c>
      <c r="B8" s="37" t="s">
        <v>2725</v>
      </c>
      <c r="C8" s="74">
        <v>1</v>
      </c>
      <c r="D8" s="74">
        <v>0</v>
      </c>
      <c r="E8" s="74">
        <v>1</v>
      </c>
      <c r="F8" s="67" t="s">
        <v>230</v>
      </c>
      <c r="G8" s="67" t="s">
        <v>1052</v>
      </c>
      <c r="H8" s="37">
        <f t="shared" si="0"/>
        <v>5</v>
      </c>
      <c r="I8" s="37"/>
    </row>
    <row r="9" spans="1:9">
      <c r="A9" s="37" t="s">
        <v>3912</v>
      </c>
      <c r="B9" s="37" t="s">
        <v>2727</v>
      </c>
      <c r="C9" s="74">
        <v>0</v>
      </c>
      <c r="D9" s="74">
        <v>0</v>
      </c>
      <c r="E9" s="74">
        <v>1</v>
      </c>
      <c r="F9" s="67" t="s">
        <v>230</v>
      </c>
      <c r="G9" s="67" t="s">
        <v>1052</v>
      </c>
      <c r="H9" s="37">
        <f t="shared" si="0"/>
        <v>6</v>
      </c>
      <c r="I9" s="37"/>
    </row>
    <row r="10" spans="1:9">
      <c r="A10" s="37" t="s">
        <v>3913</v>
      </c>
      <c r="B10" s="37" t="s">
        <v>2735</v>
      </c>
      <c r="C10" s="74">
        <v>0</v>
      </c>
      <c r="D10" s="74">
        <v>0</v>
      </c>
      <c r="E10" s="74">
        <v>1</v>
      </c>
      <c r="F10" s="67" t="s">
        <v>230</v>
      </c>
      <c r="G10" s="67" t="s">
        <v>1052</v>
      </c>
      <c r="H10" s="37">
        <f t="shared" si="0"/>
        <v>7</v>
      </c>
      <c r="I10" s="37"/>
    </row>
    <row r="11" spans="1:9">
      <c r="A11" s="37" t="s">
        <v>3914</v>
      </c>
      <c r="B11" s="37" t="s">
        <v>2728</v>
      </c>
      <c r="C11" s="74" t="s">
        <v>186</v>
      </c>
      <c r="D11" s="74" t="s">
        <v>186</v>
      </c>
      <c r="E11" s="74" t="s">
        <v>186</v>
      </c>
      <c r="F11" s="67" t="s">
        <v>230</v>
      </c>
      <c r="G11" s="67" t="s">
        <v>1052</v>
      </c>
      <c r="H11" s="37">
        <f t="shared" si="0"/>
        <v>8</v>
      </c>
      <c r="I11" s="37"/>
    </row>
    <row r="12" spans="1:9">
      <c r="A12" s="37" t="s">
        <v>3915</v>
      </c>
      <c r="B12" s="37" t="s">
        <v>3896</v>
      </c>
      <c r="C12" s="74">
        <v>60000</v>
      </c>
      <c r="D12" s="74">
        <v>0</v>
      </c>
      <c r="E12" s="74">
        <v>4294967295</v>
      </c>
      <c r="F12" s="67" t="s">
        <v>230</v>
      </c>
      <c r="G12" s="67" t="s">
        <v>1052</v>
      </c>
      <c r="H12" s="37">
        <f t="shared" si="0"/>
        <v>9</v>
      </c>
      <c r="I12" s="37"/>
    </row>
    <row r="13" spans="1:9">
      <c r="A13" s="37" t="s">
        <v>3916</v>
      </c>
      <c r="B13" s="37" t="s">
        <v>3897</v>
      </c>
      <c r="C13" s="74">
        <v>30000</v>
      </c>
      <c r="D13" s="74">
        <v>0</v>
      </c>
      <c r="E13" s="74">
        <v>4294967295</v>
      </c>
      <c r="F13" s="67" t="s">
        <v>230</v>
      </c>
      <c r="G13" s="67" t="s">
        <v>1052</v>
      </c>
      <c r="H13" s="37">
        <f t="shared" si="0"/>
        <v>10</v>
      </c>
      <c r="I13" s="37"/>
    </row>
    <row r="14" spans="1:9">
      <c r="A14" s="37" t="s">
        <v>2733</v>
      </c>
      <c r="B14" s="37" t="s">
        <v>2734</v>
      </c>
      <c r="C14" s="74">
        <v>0</v>
      </c>
      <c r="D14" s="74">
        <v>0</v>
      </c>
      <c r="E14" s="74">
        <v>1</v>
      </c>
      <c r="F14" s="67" t="s">
        <v>230</v>
      </c>
      <c r="G14" s="67" t="s">
        <v>1052</v>
      </c>
      <c r="H14" s="37">
        <f t="shared" si="0"/>
        <v>11</v>
      </c>
      <c r="I14" s="37"/>
    </row>
    <row r="15" spans="1:9">
      <c r="A15" s="37" t="s">
        <v>3900</v>
      </c>
      <c r="B15" s="37" t="s">
        <v>2652</v>
      </c>
      <c r="C15" s="74">
        <v>101</v>
      </c>
      <c r="D15" s="74">
        <v>1</v>
      </c>
      <c r="E15" s="74">
        <v>4096</v>
      </c>
      <c r="F15" s="67" t="s">
        <v>230</v>
      </c>
      <c r="G15" s="67" t="s">
        <v>230</v>
      </c>
      <c r="H15" s="37">
        <f t="shared" ref="H15:H28" si="1">ROW()-3</f>
        <v>12</v>
      </c>
      <c r="I15" s="37"/>
    </row>
    <row r="16" spans="1:9">
      <c r="A16" s="37" t="s">
        <v>3901</v>
      </c>
      <c r="B16" s="37" t="s">
        <v>2772</v>
      </c>
      <c r="C16" s="74">
        <v>116</v>
      </c>
      <c r="D16" s="74">
        <v>1</v>
      </c>
      <c r="E16" s="74">
        <v>4096</v>
      </c>
      <c r="F16" s="67" t="s">
        <v>230</v>
      </c>
      <c r="G16" s="67" t="s">
        <v>230</v>
      </c>
      <c r="H16" s="37">
        <f t="shared" si="1"/>
        <v>13</v>
      </c>
      <c r="I16" s="37" t="s">
        <v>2774</v>
      </c>
    </row>
    <row r="17" spans="1:9">
      <c r="A17" s="37" t="s">
        <v>3902</v>
      </c>
      <c r="B17" s="37" t="s">
        <v>1130</v>
      </c>
      <c r="C17" s="74" t="s">
        <v>186</v>
      </c>
      <c r="D17" s="74" t="s">
        <v>186</v>
      </c>
      <c r="E17" s="74" t="s">
        <v>186</v>
      </c>
      <c r="F17" s="67" t="s">
        <v>230</v>
      </c>
      <c r="G17" s="67" t="s">
        <v>1052</v>
      </c>
      <c r="H17" s="37">
        <f t="shared" si="1"/>
        <v>14</v>
      </c>
      <c r="I17" s="37" t="s">
        <v>2649</v>
      </c>
    </row>
    <row r="18" spans="1:9">
      <c r="A18" s="37" t="s">
        <v>3904</v>
      </c>
      <c r="B18" s="37" t="s">
        <v>3903</v>
      </c>
      <c r="C18" s="74">
        <v>201</v>
      </c>
      <c r="D18" s="74">
        <v>1</v>
      </c>
      <c r="E18" s="74">
        <v>4096</v>
      </c>
      <c r="F18" s="67" t="s">
        <v>230</v>
      </c>
      <c r="G18" s="67" t="s">
        <v>230</v>
      </c>
      <c r="H18" s="37">
        <f t="shared" si="1"/>
        <v>15</v>
      </c>
      <c r="I18" s="37"/>
    </row>
    <row r="19" spans="1:9">
      <c r="A19" s="37" t="s">
        <v>3905</v>
      </c>
      <c r="B19" s="37" t="s">
        <v>3917</v>
      </c>
      <c r="C19" s="74">
        <v>216</v>
      </c>
      <c r="D19" s="74">
        <v>1</v>
      </c>
      <c r="E19" s="74">
        <v>4096</v>
      </c>
      <c r="F19" s="67" t="s">
        <v>230</v>
      </c>
      <c r="G19" s="67" t="s">
        <v>230</v>
      </c>
      <c r="H19" s="37">
        <f t="shared" si="1"/>
        <v>16</v>
      </c>
      <c r="I19" s="37" t="s">
        <v>2774</v>
      </c>
    </row>
    <row r="20" spans="1:9">
      <c r="A20" s="37" t="s">
        <v>3906</v>
      </c>
      <c r="B20" s="37" t="s">
        <v>4120</v>
      </c>
      <c r="C20" s="74" t="s">
        <v>186</v>
      </c>
      <c r="D20" s="74" t="s">
        <v>186</v>
      </c>
      <c r="E20" s="74" t="s">
        <v>186</v>
      </c>
      <c r="F20" s="67" t="s">
        <v>230</v>
      </c>
      <c r="G20" s="67" t="s">
        <v>1052</v>
      </c>
      <c r="H20" s="37">
        <f t="shared" si="1"/>
        <v>17</v>
      </c>
      <c r="I20" s="37" t="s">
        <v>2649</v>
      </c>
    </row>
    <row r="21" spans="1:9">
      <c r="A21" s="37" t="s">
        <v>4121</v>
      </c>
      <c r="B21" s="37" t="s">
        <v>4211</v>
      </c>
      <c r="C21" s="81" t="s">
        <v>4122</v>
      </c>
      <c r="D21" s="74" t="s">
        <v>186</v>
      </c>
      <c r="E21" s="74" t="s">
        <v>186</v>
      </c>
      <c r="F21" s="67" t="s">
        <v>230</v>
      </c>
      <c r="G21" s="67" t="s">
        <v>230</v>
      </c>
      <c r="H21" s="37">
        <f t="shared" si="1"/>
        <v>18</v>
      </c>
      <c r="I21" s="37"/>
    </row>
    <row r="22" spans="1:9">
      <c r="A22" s="37" t="s">
        <v>4216</v>
      </c>
      <c r="B22" s="37" t="s">
        <v>4217</v>
      </c>
      <c r="C22" s="74">
        <v>1000</v>
      </c>
      <c r="D22" s="74">
        <v>0</v>
      </c>
      <c r="E22" s="74">
        <v>2147483647</v>
      </c>
      <c r="F22" s="67" t="s">
        <v>230</v>
      </c>
      <c r="G22" s="67" t="s">
        <v>230</v>
      </c>
      <c r="H22" s="37">
        <f t="shared" si="1"/>
        <v>19</v>
      </c>
      <c r="I22" s="37"/>
    </row>
    <row r="23" spans="1:9">
      <c r="A23" s="37" t="s">
        <v>1131</v>
      </c>
      <c r="B23" s="37" t="s">
        <v>1128</v>
      </c>
      <c r="C23" s="91">
        <f>C15</f>
        <v>101</v>
      </c>
      <c r="D23" s="74">
        <v>1</v>
      </c>
      <c r="E23" s="74">
        <v>4096</v>
      </c>
      <c r="F23" s="67" t="s">
        <v>230</v>
      </c>
      <c r="G23" s="67" t="s">
        <v>230</v>
      </c>
      <c r="H23" s="37">
        <f t="shared" si="1"/>
        <v>20</v>
      </c>
      <c r="I23" s="37"/>
    </row>
    <row r="24" spans="1:9">
      <c r="A24" s="37" t="s">
        <v>1132</v>
      </c>
      <c r="B24" s="37" t="s">
        <v>1100</v>
      </c>
      <c r="C24" s="74" t="s">
        <v>2653</v>
      </c>
      <c r="D24" s="74" t="s">
        <v>195</v>
      </c>
      <c r="E24" s="74" t="s">
        <v>228</v>
      </c>
      <c r="F24" s="67" t="s">
        <v>230</v>
      </c>
      <c r="G24" s="67" t="s">
        <v>1052</v>
      </c>
      <c r="H24" s="37">
        <f t="shared" si="1"/>
        <v>21</v>
      </c>
      <c r="I24" s="37"/>
    </row>
    <row r="25" spans="1:9">
      <c r="A25" s="37" t="s">
        <v>1133</v>
      </c>
      <c r="B25" s="37" t="s">
        <v>1101</v>
      </c>
      <c r="C25" s="74">
        <v>0</v>
      </c>
      <c r="D25" s="74">
        <v>0</v>
      </c>
      <c r="E25" s="74">
        <v>65535</v>
      </c>
      <c r="F25" s="67" t="s">
        <v>230</v>
      </c>
      <c r="G25" s="67" t="s">
        <v>1052</v>
      </c>
      <c r="H25" s="37">
        <f t="shared" si="1"/>
        <v>22</v>
      </c>
      <c r="I25" s="37"/>
    </row>
    <row r="26" spans="1:9">
      <c r="A26" s="37" t="s">
        <v>1134</v>
      </c>
      <c r="B26" s="37" t="s">
        <v>1102</v>
      </c>
      <c r="C26" s="74">
        <v>1</v>
      </c>
      <c r="D26" s="74">
        <v>0</v>
      </c>
      <c r="E26" s="74">
        <v>1</v>
      </c>
      <c r="F26" s="67" t="s">
        <v>230</v>
      </c>
      <c r="G26" s="67" t="s">
        <v>1052</v>
      </c>
      <c r="H26" s="37">
        <f t="shared" si="1"/>
        <v>23</v>
      </c>
      <c r="I26" s="37"/>
    </row>
    <row r="27" spans="1:9">
      <c r="A27" s="37" t="s">
        <v>1135</v>
      </c>
      <c r="B27" s="37" t="s">
        <v>1103</v>
      </c>
      <c r="C27" s="74">
        <v>0</v>
      </c>
      <c r="D27" s="74">
        <v>0</v>
      </c>
      <c r="E27" s="74">
        <v>65535</v>
      </c>
      <c r="F27" s="67" t="s">
        <v>230</v>
      </c>
      <c r="G27" s="67" t="s">
        <v>1052</v>
      </c>
      <c r="H27" s="37">
        <f t="shared" si="1"/>
        <v>24</v>
      </c>
      <c r="I27" s="37"/>
    </row>
    <row r="28" spans="1:9">
      <c r="A28" s="37" t="s">
        <v>1136</v>
      </c>
      <c r="B28" s="37" t="s">
        <v>1104</v>
      </c>
      <c r="C28" s="74">
        <v>0</v>
      </c>
      <c r="D28" s="74">
        <v>0</v>
      </c>
      <c r="E28" s="74">
        <v>1</v>
      </c>
      <c r="F28" s="67" t="s">
        <v>230</v>
      </c>
      <c r="G28" s="67" t="s">
        <v>1052</v>
      </c>
      <c r="H28" s="37">
        <f t="shared" si="1"/>
        <v>25</v>
      </c>
      <c r="I28" s="37"/>
    </row>
    <row r="29" spans="1:9">
      <c r="A29" s="37" t="s">
        <v>1137</v>
      </c>
      <c r="B29" s="37" t="s">
        <v>1105</v>
      </c>
      <c r="C29" s="74">
        <v>1</v>
      </c>
      <c r="D29" s="74">
        <v>0</v>
      </c>
      <c r="E29" s="74">
        <v>2</v>
      </c>
      <c r="F29" s="67" t="s">
        <v>230</v>
      </c>
      <c r="G29" s="67" t="s">
        <v>1052</v>
      </c>
      <c r="H29" s="37">
        <f t="shared" ref="H29:H33" si="2">ROW()-3</f>
        <v>26</v>
      </c>
      <c r="I29" s="37" t="s">
        <v>2704</v>
      </c>
    </row>
    <row r="30" spans="1:9">
      <c r="A30" s="37" t="s">
        <v>1138</v>
      </c>
      <c r="B30" s="37" t="s">
        <v>1106</v>
      </c>
      <c r="C30" s="74">
        <v>0</v>
      </c>
      <c r="D30" s="74">
        <v>0</v>
      </c>
      <c r="E30" s="74">
        <v>3</v>
      </c>
      <c r="F30" s="67" t="s">
        <v>230</v>
      </c>
      <c r="G30" s="67" t="s">
        <v>1052</v>
      </c>
      <c r="H30" s="37">
        <f t="shared" si="2"/>
        <v>27</v>
      </c>
      <c r="I30" s="37"/>
    </row>
    <row r="31" spans="1:9">
      <c r="A31" s="37" t="s">
        <v>1139</v>
      </c>
      <c r="B31" s="37" t="s">
        <v>1107</v>
      </c>
      <c r="C31" s="74">
        <v>0</v>
      </c>
      <c r="D31" s="74">
        <v>0</v>
      </c>
      <c r="E31" s="74">
        <v>3</v>
      </c>
      <c r="F31" s="67" t="s">
        <v>230</v>
      </c>
      <c r="G31" s="67" t="s">
        <v>1052</v>
      </c>
      <c r="H31" s="37">
        <f t="shared" si="2"/>
        <v>28</v>
      </c>
      <c r="I31" s="37"/>
    </row>
    <row r="32" spans="1:9">
      <c r="A32" s="37" t="s">
        <v>1140</v>
      </c>
      <c r="B32" s="37" t="s">
        <v>1108</v>
      </c>
      <c r="C32" s="74">
        <v>0</v>
      </c>
      <c r="D32" s="74">
        <v>0</v>
      </c>
      <c r="E32" s="74">
        <v>3</v>
      </c>
      <c r="F32" s="67" t="s">
        <v>230</v>
      </c>
      <c r="G32" s="67" t="s">
        <v>1052</v>
      </c>
      <c r="H32" s="37">
        <f t="shared" si="2"/>
        <v>29</v>
      </c>
      <c r="I32" s="37"/>
    </row>
    <row r="33" spans="1:9">
      <c r="A33" s="37" t="s">
        <v>1141</v>
      </c>
      <c r="B33" s="37" t="s">
        <v>2654</v>
      </c>
      <c r="C33" s="74">
        <v>0</v>
      </c>
      <c r="D33" s="74">
        <v>0</v>
      </c>
      <c r="E33" s="74">
        <v>1</v>
      </c>
      <c r="F33" s="67" t="s">
        <v>230</v>
      </c>
      <c r="G33" s="67" t="s">
        <v>1052</v>
      </c>
      <c r="H33" s="37">
        <f t="shared" si="2"/>
        <v>30</v>
      </c>
      <c r="I33" s="37"/>
    </row>
    <row r="34" spans="1:9">
      <c r="A34" s="37" t="s">
        <v>1142</v>
      </c>
      <c r="B34" s="37" t="s">
        <v>1163</v>
      </c>
      <c r="C34" s="74">
        <v>0</v>
      </c>
      <c r="D34" s="74">
        <v>0</v>
      </c>
      <c r="E34" s="74">
        <v>1</v>
      </c>
      <c r="F34" s="67" t="s">
        <v>230</v>
      </c>
      <c r="G34" s="67" t="s">
        <v>1052</v>
      </c>
      <c r="H34" s="37">
        <f t="shared" ref="H34:H105" si="3">ROW()-3</f>
        <v>31</v>
      </c>
      <c r="I34" s="37"/>
    </row>
    <row r="35" spans="1:9">
      <c r="A35" s="37" t="s">
        <v>1143</v>
      </c>
      <c r="B35" s="37" t="s">
        <v>1109</v>
      </c>
      <c r="C35" s="74">
        <v>0</v>
      </c>
      <c r="D35" s="74">
        <v>0</v>
      </c>
      <c r="E35" s="74">
        <v>4</v>
      </c>
      <c r="F35" s="67" t="s">
        <v>230</v>
      </c>
      <c r="G35" s="67" t="s">
        <v>1052</v>
      </c>
      <c r="H35" s="37">
        <f t="shared" si="3"/>
        <v>32</v>
      </c>
      <c r="I35" s="37"/>
    </row>
    <row r="36" spans="1:9">
      <c r="A36" s="37" t="s">
        <v>1144</v>
      </c>
      <c r="B36" s="37" t="s">
        <v>1110</v>
      </c>
      <c r="C36" s="74" t="s">
        <v>186</v>
      </c>
      <c r="D36" s="74" t="s">
        <v>186</v>
      </c>
      <c r="E36" s="74" t="s">
        <v>186</v>
      </c>
      <c r="F36" s="67" t="s">
        <v>230</v>
      </c>
      <c r="G36" s="67" t="s">
        <v>1052</v>
      </c>
      <c r="H36" s="37">
        <f t="shared" si="3"/>
        <v>33</v>
      </c>
      <c r="I36" s="37"/>
    </row>
    <row r="37" spans="1:9">
      <c r="A37" s="37" t="s">
        <v>1145</v>
      </c>
      <c r="B37" s="37" t="s">
        <v>1111</v>
      </c>
      <c r="C37" s="74" t="s">
        <v>186</v>
      </c>
      <c r="D37" s="74" t="s">
        <v>186</v>
      </c>
      <c r="E37" s="74" t="s">
        <v>186</v>
      </c>
      <c r="F37" s="67" t="s">
        <v>230</v>
      </c>
      <c r="G37" s="67" t="s">
        <v>1052</v>
      </c>
      <c r="H37" s="37">
        <f t="shared" si="3"/>
        <v>34</v>
      </c>
      <c r="I37" s="37"/>
    </row>
    <row r="38" spans="1:9">
      <c r="A38" s="37" t="s">
        <v>1146</v>
      </c>
      <c r="B38" s="37" t="s">
        <v>1112</v>
      </c>
      <c r="C38" s="74">
        <v>0</v>
      </c>
      <c r="D38" s="74">
        <v>0</v>
      </c>
      <c r="E38" s="74">
        <v>3</v>
      </c>
      <c r="F38" s="67" t="s">
        <v>230</v>
      </c>
      <c r="G38" s="67" t="s">
        <v>1052</v>
      </c>
      <c r="H38" s="37">
        <f t="shared" si="3"/>
        <v>35</v>
      </c>
      <c r="I38" s="37"/>
    </row>
    <row r="39" spans="1:9">
      <c r="A39" s="37" t="s">
        <v>3918</v>
      </c>
      <c r="B39" s="37" t="s">
        <v>3919</v>
      </c>
      <c r="C39" s="74">
        <v>10000</v>
      </c>
      <c r="D39" s="74">
        <v>1000</v>
      </c>
      <c r="E39" s="74">
        <v>99999000</v>
      </c>
      <c r="F39" s="67" t="s">
        <v>230</v>
      </c>
      <c r="G39" s="67" t="s">
        <v>1052</v>
      </c>
      <c r="H39" s="37">
        <f t="shared" si="3"/>
        <v>36</v>
      </c>
      <c r="I39" s="37"/>
    </row>
    <row r="40" spans="1:9">
      <c r="A40" s="37" t="s">
        <v>4070</v>
      </c>
      <c r="B40" s="37" t="s">
        <v>4069</v>
      </c>
      <c r="C40" s="74">
        <v>0</v>
      </c>
      <c r="D40" s="74">
        <v>0</v>
      </c>
      <c r="E40" s="74">
        <v>1</v>
      </c>
      <c r="F40" s="67" t="s">
        <v>230</v>
      </c>
      <c r="G40" s="67" t="s">
        <v>1052</v>
      </c>
      <c r="H40" s="37">
        <f t="shared" si="3"/>
        <v>37</v>
      </c>
      <c r="I40" s="37"/>
    </row>
    <row r="41" spans="1:9">
      <c r="A41" s="37" t="s">
        <v>1147</v>
      </c>
      <c r="B41" s="37" t="s">
        <v>1129</v>
      </c>
      <c r="C41" s="91">
        <f>C23+1</f>
        <v>102</v>
      </c>
      <c r="D41" s="74">
        <f>D23</f>
        <v>1</v>
      </c>
      <c r="E41" s="74">
        <f>E23</f>
        <v>4096</v>
      </c>
      <c r="F41" s="67" t="s">
        <v>230</v>
      </c>
      <c r="G41" s="67" t="s">
        <v>230</v>
      </c>
      <c r="H41" s="37">
        <f t="shared" si="3"/>
        <v>38</v>
      </c>
      <c r="I41" s="37"/>
    </row>
    <row r="42" spans="1:9">
      <c r="A42" s="37" t="s">
        <v>1148</v>
      </c>
      <c r="B42" s="37" t="s">
        <v>1114</v>
      </c>
      <c r="C42" s="74" t="str">
        <f>C24</f>
        <v>0x00000000</v>
      </c>
      <c r="D42" s="74" t="str">
        <f t="shared" ref="D42:E42" si="4">D24</f>
        <v>0x80000000</v>
      </c>
      <c r="E42" s="74" t="str">
        <f t="shared" si="4"/>
        <v>0x7fffffff</v>
      </c>
      <c r="F42" s="67" t="s">
        <v>230</v>
      </c>
      <c r="G42" s="67" t="s">
        <v>1052</v>
      </c>
      <c r="H42" s="37">
        <f t="shared" si="3"/>
        <v>39</v>
      </c>
      <c r="I42" s="37"/>
    </row>
    <row r="43" spans="1:9">
      <c r="A43" s="37" t="s">
        <v>1149</v>
      </c>
      <c r="B43" s="37" t="s">
        <v>1115</v>
      </c>
      <c r="C43" s="74">
        <f t="shared" ref="C43:E58" si="5">C25</f>
        <v>0</v>
      </c>
      <c r="D43" s="74">
        <f t="shared" si="5"/>
        <v>0</v>
      </c>
      <c r="E43" s="74">
        <f t="shared" si="5"/>
        <v>65535</v>
      </c>
      <c r="F43" s="67" t="s">
        <v>230</v>
      </c>
      <c r="G43" s="67" t="s">
        <v>1052</v>
      </c>
      <c r="H43" s="37">
        <f t="shared" si="3"/>
        <v>40</v>
      </c>
      <c r="I43" s="37"/>
    </row>
    <row r="44" spans="1:9">
      <c r="A44" s="37" t="s">
        <v>1150</v>
      </c>
      <c r="B44" s="37" t="s">
        <v>1116</v>
      </c>
      <c r="C44" s="74">
        <f t="shared" si="5"/>
        <v>1</v>
      </c>
      <c r="D44" s="74">
        <f t="shared" si="5"/>
        <v>0</v>
      </c>
      <c r="E44" s="74">
        <f t="shared" si="5"/>
        <v>1</v>
      </c>
      <c r="F44" s="67" t="s">
        <v>230</v>
      </c>
      <c r="G44" s="67" t="s">
        <v>1052</v>
      </c>
      <c r="H44" s="37">
        <f t="shared" si="3"/>
        <v>41</v>
      </c>
      <c r="I44" s="37"/>
    </row>
    <row r="45" spans="1:9">
      <c r="A45" s="37" t="s">
        <v>1151</v>
      </c>
      <c r="B45" s="37" t="s">
        <v>1117</v>
      </c>
      <c r="C45" s="74">
        <f t="shared" si="5"/>
        <v>0</v>
      </c>
      <c r="D45" s="74">
        <f t="shared" si="5"/>
        <v>0</v>
      </c>
      <c r="E45" s="74">
        <f t="shared" si="5"/>
        <v>65535</v>
      </c>
      <c r="F45" s="67" t="s">
        <v>230</v>
      </c>
      <c r="G45" s="67" t="s">
        <v>1052</v>
      </c>
      <c r="H45" s="37">
        <f t="shared" si="3"/>
        <v>42</v>
      </c>
      <c r="I45" s="37"/>
    </row>
    <row r="46" spans="1:9">
      <c r="A46" s="37" t="s">
        <v>1152</v>
      </c>
      <c r="B46" s="37" t="s">
        <v>1118</v>
      </c>
      <c r="C46" s="74">
        <f t="shared" si="5"/>
        <v>0</v>
      </c>
      <c r="D46" s="74">
        <f t="shared" si="5"/>
        <v>0</v>
      </c>
      <c r="E46" s="74">
        <f t="shared" si="5"/>
        <v>1</v>
      </c>
      <c r="F46" s="67" t="s">
        <v>230</v>
      </c>
      <c r="G46" s="67" t="s">
        <v>1052</v>
      </c>
      <c r="H46" s="37">
        <f t="shared" si="3"/>
        <v>43</v>
      </c>
      <c r="I46" s="37"/>
    </row>
    <row r="47" spans="1:9">
      <c r="A47" s="37" t="s">
        <v>1153</v>
      </c>
      <c r="B47" s="37" t="s">
        <v>1119</v>
      </c>
      <c r="C47" s="74">
        <f t="shared" si="5"/>
        <v>1</v>
      </c>
      <c r="D47" s="74">
        <f t="shared" si="5"/>
        <v>0</v>
      </c>
      <c r="E47" s="74">
        <f t="shared" si="5"/>
        <v>2</v>
      </c>
      <c r="F47" s="67" t="s">
        <v>230</v>
      </c>
      <c r="G47" s="67" t="s">
        <v>1052</v>
      </c>
      <c r="H47" s="37">
        <f t="shared" si="3"/>
        <v>44</v>
      </c>
      <c r="I47" s="37"/>
    </row>
    <row r="48" spans="1:9">
      <c r="A48" s="37" t="s">
        <v>1154</v>
      </c>
      <c r="B48" s="37" t="s">
        <v>1120</v>
      </c>
      <c r="C48" s="74">
        <f t="shared" si="5"/>
        <v>0</v>
      </c>
      <c r="D48" s="74">
        <f t="shared" si="5"/>
        <v>0</v>
      </c>
      <c r="E48" s="74">
        <f t="shared" si="5"/>
        <v>3</v>
      </c>
      <c r="F48" s="67" t="s">
        <v>230</v>
      </c>
      <c r="G48" s="67" t="s">
        <v>1052</v>
      </c>
      <c r="H48" s="37">
        <f t="shared" si="3"/>
        <v>45</v>
      </c>
      <c r="I48" s="37"/>
    </row>
    <row r="49" spans="1:9">
      <c r="A49" s="37" t="s">
        <v>1155</v>
      </c>
      <c r="B49" s="37" t="s">
        <v>1121</v>
      </c>
      <c r="C49" s="74">
        <f t="shared" si="5"/>
        <v>0</v>
      </c>
      <c r="D49" s="74">
        <f t="shared" si="5"/>
        <v>0</v>
      </c>
      <c r="E49" s="74">
        <f t="shared" si="5"/>
        <v>3</v>
      </c>
      <c r="F49" s="67" t="s">
        <v>230</v>
      </c>
      <c r="G49" s="67" t="s">
        <v>1052</v>
      </c>
      <c r="H49" s="37">
        <f t="shared" si="3"/>
        <v>46</v>
      </c>
      <c r="I49" s="37"/>
    </row>
    <row r="50" spans="1:9">
      <c r="A50" s="37" t="s">
        <v>1156</v>
      </c>
      <c r="B50" s="37" t="s">
        <v>1122</v>
      </c>
      <c r="C50" s="74">
        <f t="shared" si="5"/>
        <v>0</v>
      </c>
      <c r="D50" s="74">
        <f t="shared" si="5"/>
        <v>0</v>
      </c>
      <c r="E50" s="74">
        <f t="shared" si="5"/>
        <v>3</v>
      </c>
      <c r="F50" s="67" t="s">
        <v>230</v>
      </c>
      <c r="G50" s="67" t="s">
        <v>1052</v>
      </c>
      <c r="H50" s="37">
        <f t="shared" si="3"/>
        <v>47</v>
      </c>
      <c r="I50" s="37"/>
    </row>
    <row r="51" spans="1:9">
      <c r="A51" s="37" t="s">
        <v>1157</v>
      </c>
      <c r="B51" s="37" t="s">
        <v>2655</v>
      </c>
      <c r="C51" s="74">
        <f t="shared" si="5"/>
        <v>0</v>
      </c>
      <c r="D51" s="74">
        <f t="shared" si="5"/>
        <v>0</v>
      </c>
      <c r="E51" s="74">
        <f t="shared" si="5"/>
        <v>1</v>
      </c>
      <c r="F51" s="67" t="s">
        <v>230</v>
      </c>
      <c r="G51" s="67" t="s">
        <v>1052</v>
      </c>
      <c r="H51" s="37">
        <f t="shared" si="3"/>
        <v>48</v>
      </c>
      <c r="I51" s="37"/>
    </row>
    <row r="52" spans="1:9">
      <c r="A52" s="37" t="s">
        <v>1158</v>
      </c>
      <c r="B52" s="37" t="s">
        <v>1123</v>
      </c>
      <c r="C52" s="74">
        <f t="shared" si="5"/>
        <v>0</v>
      </c>
      <c r="D52" s="74">
        <f t="shared" si="5"/>
        <v>0</v>
      </c>
      <c r="E52" s="74">
        <f t="shared" si="5"/>
        <v>1</v>
      </c>
      <c r="F52" s="67" t="s">
        <v>230</v>
      </c>
      <c r="G52" s="67" t="s">
        <v>1052</v>
      </c>
      <c r="H52" s="37">
        <f t="shared" si="3"/>
        <v>49</v>
      </c>
      <c r="I52" s="37"/>
    </row>
    <row r="53" spans="1:9">
      <c r="A53" s="37" t="s">
        <v>1159</v>
      </c>
      <c r="B53" s="37" t="s">
        <v>1124</v>
      </c>
      <c r="C53" s="74">
        <f t="shared" si="5"/>
        <v>0</v>
      </c>
      <c r="D53" s="74">
        <f t="shared" si="5"/>
        <v>0</v>
      </c>
      <c r="E53" s="74">
        <f t="shared" si="5"/>
        <v>4</v>
      </c>
      <c r="F53" s="67" t="s">
        <v>230</v>
      </c>
      <c r="G53" s="67" t="s">
        <v>1052</v>
      </c>
      <c r="H53" s="37">
        <f t="shared" si="3"/>
        <v>50</v>
      </c>
      <c r="I53" s="37"/>
    </row>
    <row r="54" spans="1:9">
      <c r="A54" s="37" t="s">
        <v>1160</v>
      </c>
      <c r="B54" s="37" t="s">
        <v>1125</v>
      </c>
      <c r="C54" s="74" t="str">
        <f t="shared" si="5"/>
        <v>(空文字)</v>
      </c>
      <c r="D54" s="74" t="str">
        <f t="shared" si="5"/>
        <v>(空文字)</v>
      </c>
      <c r="E54" s="74" t="str">
        <f t="shared" si="5"/>
        <v>(空文字)</v>
      </c>
      <c r="F54" s="67" t="s">
        <v>230</v>
      </c>
      <c r="G54" s="67" t="s">
        <v>1052</v>
      </c>
      <c r="H54" s="37">
        <f t="shared" si="3"/>
        <v>51</v>
      </c>
      <c r="I54" s="37"/>
    </row>
    <row r="55" spans="1:9">
      <c r="A55" s="37" t="s">
        <v>1161</v>
      </c>
      <c r="B55" s="37" t="s">
        <v>1126</v>
      </c>
      <c r="C55" s="74" t="str">
        <f t="shared" si="5"/>
        <v>(空文字)</v>
      </c>
      <c r="D55" s="74" t="str">
        <f t="shared" si="5"/>
        <v>(空文字)</v>
      </c>
      <c r="E55" s="74" t="str">
        <f t="shared" si="5"/>
        <v>(空文字)</v>
      </c>
      <c r="F55" s="67" t="s">
        <v>230</v>
      </c>
      <c r="G55" s="67" t="s">
        <v>1052</v>
      </c>
      <c r="H55" s="37">
        <f t="shared" si="3"/>
        <v>52</v>
      </c>
      <c r="I55" s="37"/>
    </row>
    <row r="56" spans="1:9">
      <c r="A56" s="37" t="s">
        <v>1162</v>
      </c>
      <c r="B56" s="37" t="s">
        <v>1127</v>
      </c>
      <c r="C56" s="74">
        <f t="shared" si="5"/>
        <v>0</v>
      </c>
      <c r="D56" s="74">
        <f t="shared" si="5"/>
        <v>0</v>
      </c>
      <c r="E56" s="74">
        <f t="shared" si="5"/>
        <v>3</v>
      </c>
      <c r="F56" s="67" t="s">
        <v>230</v>
      </c>
      <c r="G56" s="67" t="s">
        <v>1052</v>
      </c>
      <c r="H56" s="37">
        <f t="shared" si="3"/>
        <v>53</v>
      </c>
      <c r="I56" s="37"/>
    </row>
    <row r="57" spans="1:9">
      <c r="A57" s="37" t="s">
        <v>3968</v>
      </c>
      <c r="B57" s="37" t="s">
        <v>3973</v>
      </c>
      <c r="C57" s="74">
        <f t="shared" si="5"/>
        <v>10000</v>
      </c>
      <c r="D57" s="74">
        <f t="shared" si="5"/>
        <v>1000</v>
      </c>
      <c r="E57" s="74">
        <f t="shared" si="5"/>
        <v>99999000</v>
      </c>
      <c r="F57" s="67" t="s">
        <v>230</v>
      </c>
      <c r="G57" s="67" t="s">
        <v>1052</v>
      </c>
      <c r="H57" s="37">
        <f t="shared" si="3"/>
        <v>54</v>
      </c>
      <c r="I57" s="37"/>
    </row>
    <row r="58" spans="1:9">
      <c r="A58" s="37" t="s">
        <v>4071</v>
      </c>
      <c r="B58" s="37" t="s">
        <v>3974</v>
      </c>
      <c r="C58" s="74">
        <f t="shared" si="5"/>
        <v>0</v>
      </c>
      <c r="D58" s="74">
        <f t="shared" si="5"/>
        <v>0</v>
      </c>
      <c r="E58" s="74">
        <f t="shared" si="5"/>
        <v>1</v>
      </c>
      <c r="F58" s="67" t="s">
        <v>230</v>
      </c>
      <c r="G58" s="67" t="s">
        <v>1052</v>
      </c>
      <c r="H58" s="37">
        <f t="shared" si="3"/>
        <v>55</v>
      </c>
      <c r="I58" s="37"/>
    </row>
    <row r="59" spans="1:9">
      <c r="A59" s="37" t="s">
        <v>1164</v>
      </c>
      <c r="B59" s="37" t="s">
        <v>1292</v>
      </c>
      <c r="C59" s="91">
        <f t="shared" ref="C59" si="6">C41+1</f>
        <v>103</v>
      </c>
      <c r="D59" s="74">
        <f t="shared" ref="D59:E59" si="7">D41</f>
        <v>1</v>
      </c>
      <c r="E59" s="74">
        <f t="shared" si="7"/>
        <v>4096</v>
      </c>
      <c r="F59" s="67" t="s">
        <v>230</v>
      </c>
      <c r="G59" s="67" t="s">
        <v>230</v>
      </c>
      <c r="H59" s="37">
        <f t="shared" si="3"/>
        <v>56</v>
      </c>
      <c r="I59" s="37"/>
    </row>
    <row r="60" spans="1:9">
      <c r="A60" s="37" t="s">
        <v>1165</v>
      </c>
      <c r="B60" s="37" t="s">
        <v>1293</v>
      </c>
      <c r="C60" s="74" t="str">
        <f t="shared" ref="C60:E60" si="8">C42</f>
        <v>0x00000000</v>
      </c>
      <c r="D60" s="74" t="str">
        <f t="shared" si="8"/>
        <v>0x80000000</v>
      </c>
      <c r="E60" s="74" t="str">
        <f t="shared" si="8"/>
        <v>0x7fffffff</v>
      </c>
      <c r="F60" s="67" t="s">
        <v>230</v>
      </c>
      <c r="G60" s="67" t="s">
        <v>1052</v>
      </c>
      <c r="H60" s="37">
        <f t="shared" si="3"/>
        <v>57</v>
      </c>
      <c r="I60" s="37"/>
    </row>
    <row r="61" spans="1:9">
      <c r="A61" s="37" t="s">
        <v>1166</v>
      </c>
      <c r="B61" s="37" t="s">
        <v>1294</v>
      </c>
      <c r="C61" s="74">
        <f t="shared" ref="C61:E61" si="9">C43</f>
        <v>0</v>
      </c>
      <c r="D61" s="74">
        <f t="shared" si="9"/>
        <v>0</v>
      </c>
      <c r="E61" s="74">
        <f t="shared" si="9"/>
        <v>65535</v>
      </c>
      <c r="F61" s="67" t="s">
        <v>230</v>
      </c>
      <c r="G61" s="67" t="s">
        <v>1052</v>
      </c>
      <c r="H61" s="37">
        <f t="shared" si="3"/>
        <v>58</v>
      </c>
      <c r="I61" s="37"/>
    </row>
    <row r="62" spans="1:9">
      <c r="A62" s="37" t="s">
        <v>1167</v>
      </c>
      <c r="B62" s="37" t="s">
        <v>1295</v>
      </c>
      <c r="C62" s="74">
        <f t="shared" ref="C62:E62" si="10">C44</f>
        <v>1</v>
      </c>
      <c r="D62" s="74">
        <f t="shared" si="10"/>
        <v>0</v>
      </c>
      <c r="E62" s="74">
        <f t="shared" si="10"/>
        <v>1</v>
      </c>
      <c r="F62" s="67" t="s">
        <v>230</v>
      </c>
      <c r="G62" s="67" t="s">
        <v>1052</v>
      </c>
      <c r="H62" s="37">
        <f t="shared" si="3"/>
        <v>59</v>
      </c>
      <c r="I62" s="37"/>
    </row>
    <row r="63" spans="1:9">
      <c r="A63" s="37" t="s">
        <v>1168</v>
      </c>
      <c r="B63" s="37" t="s">
        <v>1296</v>
      </c>
      <c r="C63" s="74">
        <f t="shared" ref="C63:E63" si="11">C45</f>
        <v>0</v>
      </c>
      <c r="D63" s="74">
        <f t="shared" si="11"/>
        <v>0</v>
      </c>
      <c r="E63" s="74">
        <f t="shared" si="11"/>
        <v>65535</v>
      </c>
      <c r="F63" s="67" t="s">
        <v>230</v>
      </c>
      <c r="G63" s="67" t="s">
        <v>1052</v>
      </c>
      <c r="H63" s="37">
        <f t="shared" si="3"/>
        <v>60</v>
      </c>
      <c r="I63" s="37"/>
    </row>
    <row r="64" spans="1:9">
      <c r="A64" s="37" t="s">
        <v>1169</v>
      </c>
      <c r="B64" s="37" t="s">
        <v>1297</v>
      </c>
      <c r="C64" s="74">
        <f t="shared" ref="C64:E64" si="12">C46</f>
        <v>0</v>
      </c>
      <c r="D64" s="74">
        <f t="shared" si="12"/>
        <v>0</v>
      </c>
      <c r="E64" s="74">
        <f t="shared" si="12"/>
        <v>1</v>
      </c>
      <c r="F64" s="67" t="s">
        <v>230</v>
      </c>
      <c r="G64" s="67" t="s">
        <v>1052</v>
      </c>
      <c r="H64" s="37">
        <f t="shared" si="3"/>
        <v>61</v>
      </c>
      <c r="I64" s="37"/>
    </row>
    <row r="65" spans="1:9">
      <c r="A65" s="37" t="s">
        <v>1170</v>
      </c>
      <c r="B65" s="37" t="s">
        <v>1298</v>
      </c>
      <c r="C65" s="74">
        <f t="shared" ref="C65:E65" si="13">C47</f>
        <v>1</v>
      </c>
      <c r="D65" s="74">
        <f t="shared" si="13"/>
        <v>0</v>
      </c>
      <c r="E65" s="74">
        <f t="shared" si="13"/>
        <v>2</v>
      </c>
      <c r="F65" s="67" t="s">
        <v>230</v>
      </c>
      <c r="G65" s="67" t="s">
        <v>1052</v>
      </c>
      <c r="H65" s="37">
        <f t="shared" si="3"/>
        <v>62</v>
      </c>
      <c r="I65" s="37"/>
    </row>
    <row r="66" spans="1:9">
      <c r="A66" s="37" t="s">
        <v>1171</v>
      </c>
      <c r="B66" s="37" t="s">
        <v>1299</v>
      </c>
      <c r="C66" s="74">
        <f t="shared" ref="C66:E66" si="14">C48</f>
        <v>0</v>
      </c>
      <c r="D66" s="74">
        <f t="shared" si="14"/>
        <v>0</v>
      </c>
      <c r="E66" s="74">
        <f t="shared" si="14"/>
        <v>3</v>
      </c>
      <c r="F66" s="67" t="s">
        <v>230</v>
      </c>
      <c r="G66" s="67" t="s">
        <v>1052</v>
      </c>
      <c r="H66" s="37">
        <f t="shared" si="3"/>
        <v>63</v>
      </c>
      <c r="I66" s="37"/>
    </row>
    <row r="67" spans="1:9">
      <c r="A67" s="37" t="s">
        <v>1172</v>
      </c>
      <c r="B67" s="37" t="s">
        <v>1300</v>
      </c>
      <c r="C67" s="74">
        <f t="shared" ref="C67:E67" si="15">C49</f>
        <v>0</v>
      </c>
      <c r="D67" s="74">
        <f t="shared" si="15"/>
        <v>0</v>
      </c>
      <c r="E67" s="74">
        <f t="shared" si="15"/>
        <v>3</v>
      </c>
      <c r="F67" s="67" t="s">
        <v>230</v>
      </c>
      <c r="G67" s="67" t="s">
        <v>1052</v>
      </c>
      <c r="H67" s="37">
        <f t="shared" si="3"/>
        <v>64</v>
      </c>
      <c r="I67" s="37"/>
    </row>
    <row r="68" spans="1:9">
      <c r="A68" s="37" t="s">
        <v>1173</v>
      </c>
      <c r="B68" s="37" t="s">
        <v>1301</v>
      </c>
      <c r="C68" s="74">
        <f t="shared" ref="C68:E68" si="16">C50</f>
        <v>0</v>
      </c>
      <c r="D68" s="74">
        <f t="shared" si="16"/>
        <v>0</v>
      </c>
      <c r="E68" s="74">
        <f t="shared" si="16"/>
        <v>3</v>
      </c>
      <c r="F68" s="67" t="s">
        <v>230</v>
      </c>
      <c r="G68" s="67" t="s">
        <v>1052</v>
      </c>
      <c r="H68" s="37">
        <f t="shared" si="3"/>
        <v>65</v>
      </c>
      <c r="I68" s="37"/>
    </row>
    <row r="69" spans="1:9">
      <c r="A69" s="37" t="s">
        <v>1174</v>
      </c>
      <c r="B69" s="37" t="s">
        <v>2656</v>
      </c>
      <c r="C69" s="74">
        <f t="shared" ref="C69:E69" si="17">C51</f>
        <v>0</v>
      </c>
      <c r="D69" s="74">
        <f t="shared" si="17"/>
        <v>0</v>
      </c>
      <c r="E69" s="74">
        <f t="shared" si="17"/>
        <v>1</v>
      </c>
      <c r="F69" s="67" t="s">
        <v>230</v>
      </c>
      <c r="G69" s="67" t="s">
        <v>1052</v>
      </c>
      <c r="H69" s="37">
        <f t="shared" si="3"/>
        <v>66</v>
      </c>
      <c r="I69" s="37"/>
    </row>
    <row r="70" spans="1:9">
      <c r="A70" s="37" t="s">
        <v>1175</v>
      </c>
      <c r="B70" s="37" t="s">
        <v>1302</v>
      </c>
      <c r="C70" s="74">
        <f t="shared" ref="C70:E70" si="18">C52</f>
        <v>0</v>
      </c>
      <c r="D70" s="74">
        <f t="shared" si="18"/>
        <v>0</v>
      </c>
      <c r="E70" s="74">
        <f t="shared" si="18"/>
        <v>1</v>
      </c>
      <c r="F70" s="67" t="s">
        <v>230</v>
      </c>
      <c r="G70" s="67" t="s">
        <v>1052</v>
      </c>
      <c r="H70" s="37">
        <f t="shared" si="3"/>
        <v>67</v>
      </c>
      <c r="I70" s="37"/>
    </row>
    <row r="71" spans="1:9">
      <c r="A71" s="37" t="s">
        <v>1176</v>
      </c>
      <c r="B71" s="37" t="s">
        <v>1303</v>
      </c>
      <c r="C71" s="74">
        <f t="shared" ref="C71:E71" si="19">C53</f>
        <v>0</v>
      </c>
      <c r="D71" s="74">
        <f t="shared" si="19"/>
        <v>0</v>
      </c>
      <c r="E71" s="74">
        <f t="shared" si="19"/>
        <v>4</v>
      </c>
      <c r="F71" s="67" t="s">
        <v>230</v>
      </c>
      <c r="G71" s="67" t="s">
        <v>1052</v>
      </c>
      <c r="H71" s="37">
        <f t="shared" si="3"/>
        <v>68</v>
      </c>
      <c r="I71" s="37"/>
    </row>
    <row r="72" spans="1:9">
      <c r="A72" s="37" t="s">
        <v>1177</v>
      </c>
      <c r="B72" s="37" t="s">
        <v>1304</v>
      </c>
      <c r="C72" s="74" t="str">
        <f t="shared" ref="C72:E72" si="20">C54</f>
        <v>(空文字)</v>
      </c>
      <c r="D72" s="74" t="str">
        <f t="shared" si="20"/>
        <v>(空文字)</v>
      </c>
      <c r="E72" s="74" t="str">
        <f t="shared" si="20"/>
        <v>(空文字)</v>
      </c>
      <c r="F72" s="67" t="s">
        <v>230</v>
      </c>
      <c r="G72" s="67" t="s">
        <v>1052</v>
      </c>
      <c r="H72" s="37">
        <f t="shared" si="3"/>
        <v>69</v>
      </c>
      <c r="I72" s="37"/>
    </row>
    <row r="73" spans="1:9">
      <c r="A73" s="37" t="s">
        <v>1178</v>
      </c>
      <c r="B73" s="37" t="s">
        <v>1305</v>
      </c>
      <c r="C73" s="74" t="str">
        <f t="shared" ref="C73:E73" si="21">C55</f>
        <v>(空文字)</v>
      </c>
      <c r="D73" s="74" t="str">
        <f t="shared" si="21"/>
        <v>(空文字)</v>
      </c>
      <c r="E73" s="74" t="str">
        <f t="shared" si="21"/>
        <v>(空文字)</v>
      </c>
      <c r="F73" s="67" t="s">
        <v>230</v>
      </c>
      <c r="G73" s="67" t="s">
        <v>1052</v>
      </c>
      <c r="H73" s="37">
        <f t="shared" si="3"/>
        <v>70</v>
      </c>
      <c r="I73" s="37"/>
    </row>
    <row r="74" spans="1:9">
      <c r="A74" s="37" t="s">
        <v>1179</v>
      </c>
      <c r="B74" s="37" t="s">
        <v>1306</v>
      </c>
      <c r="C74" s="74">
        <f t="shared" ref="C74:E74" si="22">C56</f>
        <v>0</v>
      </c>
      <c r="D74" s="74">
        <f t="shared" si="22"/>
        <v>0</v>
      </c>
      <c r="E74" s="74">
        <f t="shared" si="22"/>
        <v>3</v>
      </c>
      <c r="F74" s="67" t="s">
        <v>230</v>
      </c>
      <c r="G74" s="67" t="s">
        <v>1052</v>
      </c>
      <c r="H74" s="37">
        <f t="shared" si="3"/>
        <v>71</v>
      </c>
      <c r="I74" s="37"/>
    </row>
    <row r="75" spans="1:9">
      <c r="A75" s="37" t="s">
        <v>3966</v>
      </c>
      <c r="B75" s="37" t="s">
        <v>3975</v>
      </c>
      <c r="C75" s="74">
        <f t="shared" ref="C75:E75" si="23">C57</f>
        <v>10000</v>
      </c>
      <c r="D75" s="74">
        <f t="shared" si="23"/>
        <v>1000</v>
      </c>
      <c r="E75" s="74">
        <f t="shared" si="23"/>
        <v>99999000</v>
      </c>
      <c r="F75" s="67" t="s">
        <v>230</v>
      </c>
      <c r="G75" s="67" t="s">
        <v>1052</v>
      </c>
      <c r="H75" s="37">
        <f t="shared" si="3"/>
        <v>72</v>
      </c>
      <c r="I75" s="37"/>
    </row>
    <row r="76" spans="1:9">
      <c r="A76" s="37" t="s">
        <v>4072</v>
      </c>
      <c r="B76" s="37" t="s">
        <v>3976</v>
      </c>
      <c r="C76" s="74">
        <f t="shared" ref="C76:E76" si="24">C58</f>
        <v>0</v>
      </c>
      <c r="D76" s="74">
        <f t="shared" si="24"/>
        <v>0</v>
      </c>
      <c r="E76" s="74">
        <f t="shared" si="24"/>
        <v>1</v>
      </c>
      <c r="F76" s="67" t="s">
        <v>230</v>
      </c>
      <c r="G76" s="67" t="s">
        <v>1052</v>
      </c>
      <c r="H76" s="37">
        <f t="shared" si="3"/>
        <v>73</v>
      </c>
      <c r="I76" s="37"/>
    </row>
    <row r="77" spans="1:9">
      <c r="A77" s="37" t="s">
        <v>1180</v>
      </c>
      <c r="B77" s="37" t="s">
        <v>1307</v>
      </c>
      <c r="C77" s="91">
        <f t="shared" ref="C77" si="25">C59+1</f>
        <v>104</v>
      </c>
      <c r="D77" s="74">
        <f t="shared" ref="D77:E77" si="26">D59</f>
        <v>1</v>
      </c>
      <c r="E77" s="74">
        <f t="shared" si="26"/>
        <v>4096</v>
      </c>
      <c r="F77" s="67" t="s">
        <v>230</v>
      </c>
      <c r="G77" s="67" t="s">
        <v>230</v>
      </c>
      <c r="H77" s="37">
        <f t="shared" si="3"/>
        <v>74</v>
      </c>
      <c r="I77" s="37"/>
    </row>
    <row r="78" spans="1:9">
      <c r="A78" s="37" t="s">
        <v>1181</v>
      </c>
      <c r="B78" s="37" t="s">
        <v>1308</v>
      </c>
      <c r="C78" s="74" t="str">
        <f t="shared" ref="C78:E78" si="27">C60</f>
        <v>0x00000000</v>
      </c>
      <c r="D78" s="74" t="str">
        <f t="shared" si="27"/>
        <v>0x80000000</v>
      </c>
      <c r="E78" s="74" t="str">
        <f t="shared" si="27"/>
        <v>0x7fffffff</v>
      </c>
      <c r="F78" s="67" t="s">
        <v>230</v>
      </c>
      <c r="G78" s="67" t="s">
        <v>1052</v>
      </c>
      <c r="H78" s="37">
        <f t="shared" si="3"/>
        <v>75</v>
      </c>
      <c r="I78" s="37"/>
    </row>
    <row r="79" spans="1:9">
      <c r="A79" s="37" t="s">
        <v>1182</v>
      </c>
      <c r="B79" s="37" t="s">
        <v>1309</v>
      </c>
      <c r="C79" s="74">
        <f t="shared" ref="C79:E79" si="28">C61</f>
        <v>0</v>
      </c>
      <c r="D79" s="74">
        <f t="shared" si="28"/>
        <v>0</v>
      </c>
      <c r="E79" s="74">
        <f t="shared" si="28"/>
        <v>65535</v>
      </c>
      <c r="F79" s="67" t="s">
        <v>230</v>
      </c>
      <c r="G79" s="67" t="s">
        <v>1052</v>
      </c>
      <c r="H79" s="37">
        <f t="shared" si="3"/>
        <v>76</v>
      </c>
      <c r="I79" s="37"/>
    </row>
    <row r="80" spans="1:9">
      <c r="A80" s="37" t="s">
        <v>1183</v>
      </c>
      <c r="B80" s="37" t="s">
        <v>1310</v>
      </c>
      <c r="C80" s="74">
        <f t="shared" ref="C80:E80" si="29">C62</f>
        <v>1</v>
      </c>
      <c r="D80" s="74">
        <f t="shared" si="29"/>
        <v>0</v>
      </c>
      <c r="E80" s="74">
        <f t="shared" si="29"/>
        <v>1</v>
      </c>
      <c r="F80" s="67" t="s">
        <v>230</v>
      </c>
      <c r="G80" s="67" t="s">
        <v>1052</v>
      </c>
      <c r="H80" s="37">
        <f t="shared" si="3"/>
        <v>77</v>
      </c>
      <c r="I80" s="37"/>
    </row>
    <row r="81" spans="1:9">
      <c r="A81" s="37" t="s">
        <v>1184</v>
      </c>
      <c r="B81" s="37" t="s">
        <v>1311</v>
      </c>
      <c r="C81" s="74">
        <f t="shared" ref="C81:E81" si="30">C63</f>
        <v>0</v>
      </c>
      <c r="D81" s="74">
        <f t="shared" si="30"/>
        <v>0</v>
      </c>
      <c r="E81" s="74">
        <f t="shared" si="30"/>
        <v>65535</v>
      </c>
      <c r="F81" s="67" t="s">
        <v>230</v>
      </c>
      <c r="G81" s="67" t="s">
        <v>1052</v>
      </c>
      <c r="H81" s="37">
        <f t="shared" si="3"/>
        <v>78</v>
      </c>
      <c r="I81" s="37"/>
    </row>
    <row r="82" spans="1:9">
      <c r="A82" s="37" t="s">
        <v>1185</v>
      </c>
      <c r="B82" s="37" t="s">
        <v>1312</v>
      </c>
      <c r="C82" s="74">
        <f t="shared" ref="C82:E82" si="31">C64</f>
        <v>0</v>
      </c>
      <c r="D82" s="74">
        <f t="shared" si="31"/>
        <v>0</v>
      </c>
      <c r="E82" s="74">
        <f t="shared" si="31"/>
        <v>1</v>
      </c>
      <c r="F82" s="67" t="s">
        <v>230</v>
      </c>
      <c r="G82" s="67" t="s">
        <v>1052</v>
      </c>
      <c r="H82" s="37">
        <f t="shared" si="3"/>
        <v>79</v>
      </c>
      <c r="I82" s="37"/>
    </row>
    <row r="83" spans="1:9">
      <c r="A83" s="37" t="s">
        <v>1186</v>
      </c>
      <c r="B83" s="37" t="s">
        <v>1313</v>
      </c>
      <c r="C83" s="74">
        <f t="shared" ref="C83:E83" si="32">C65</f>
        <v>1</v>
      </c>
      <c r="D83" s="74">
        <f t="shared" si="32"/>
        <v>0</v>
      </c>
      <c r="E83" s="74">
        <f t="shared" si="32"/>
        <v>2</v>
      </c>
      <c r="F83" s="67" t="s">
        <v>230</v>
      </c>
      <c r="G83" s="67" t="s">
        <v>1052</v>
      </c>
      <c r="H83" s="37">
        <f t="shared" si="3"/>
        <v>80</v>
      </c>
      <c r="I83" s="37"/>
    </row>
    <row r="84" spans="1:9">
      <c r="A84" s="37" t="s">
        <v>1187</v>
      </c>
      <c r="B84" s="37" t="s">
        <v>1314</v>
      </c>
      <c r="C84" s="74">
        <f t="shared" ref="C84:E84" si="33">C66</f>
        <v>0</v>
      </c>
      <c r="D84" s="74">
        <f t="shared" si="33"/>
        <v>0</v>
      </c>
      <c r="E84" s="74">
        <f t="shared" si="33"/>
        <v>3</v>
      </c>
      <c r="F84" s="67" t="s">
        <v>230</v>
      </c>
      <c r="G84" s="67" t="s">
        <v>1052</v>
      </c>
      <c r="H84" s="37">
        <f t="shared" si="3"/>
        <v>81</v>
      </c>
      <c r="I84" s="37"/>
    </row>
    <row r="85" spans="1:9">
      <c r="A85" s="37" t="s">
        <v>1188</v>
      </c>
      <c r="B85" s="37" t="s">
        <v>1315</v>
      </c>
      <c r="C85" s="74">
        <f t="shared" ref="C85:E85" si="34">C67</f>
        <v>0</v>
      </c>
      <c r="D85" s="74">
        <f t="shared" si="34"/>
        <v>0</v>
      </c>
      <c r="E85" s="74">
        <f t="shared" si="34"/>
        <v>3</v>
      </c>
      <c r="F85" s="67" t="s">
        <v>230</v>
      </c>
      <c r="G85" s="67" t="s">
        <v>1052</v>
      </c>
      <c r="H85" s="37">
        <f t="shared" si="3"/>
        <v>82</v>
      </c>
      <c r="I85" s="37"/>
    </row>
    <row r="86" spans="1:9">
      <c r="A86" s="37" t="s">
        <v>1189</v>
      </c>
      <c r="B86" s="37" t="s">
        <v>1316</v>
      </c>
      <c r="C86" s="74">
        <f t="shared" ref="C86:E86" si="35">C68</f>
        <v>0</v>
      </c>
      <c r="D86" s="74">
        <f t="shared" si="35"/>
        <v>0</v>
      </c>
      <c r="E86" s="74">
        <f t="shared" si="35"/>
        <v>3</v>
      </c>
      <c r="F86" s="67" t="s">
        <v>230</v>
      </c>
      <c r="G86" s="67" t="s">
        <v>1052</v>
      </c>
      <c r="H86" s="37">
        <f t="shared" si="3"/>
        <v>83</v>
      </c>
      <c r="I86" s="37"/>
    </row>
    <row r="87" spans="1:9">
      <c r="A87" s="37" t="s">
        <v>1190</v>
      </c>
      <c r="B87" s="37" t="s">
        <v>2657</v>
      </c>
      <c r="C87" s="74">
        <f t="shared" ref="C87:E87" si="36">C69</f>
        <v>0</v>
      </c>
      <c r="D87" s="74">
        <f t="shared" si="36"/>
        <v>0</v>
      </c>
      <c r="E87" s="74">
        <f t="shared" si="36"/>
        <v>1</v>
      </c>
      <c r="F87" s="67" t="s">
        <v>230</v>
      </c>
      <c r="G87" s="67" t="s">
        <v>1052</v>
      </c>
      <c r="H87" s="37">
        <f t="shared" si="3"/>
        <v>84</v>
      </c>
      <c r="I87" s="37"/>
    </row>
    <row r="88" spans="1:9">
      <c r="A88" s="37" t="s">
        <v>1191</v>
      </c>
      <c r="B88" s="37" t="s">
        <v>1317</v>
      </c>
      <c r="C88" s="74">
        <f t="shared" ref="C88:E88" si="37">C70</f>
        <v>0</v>
      </c>
      <c r="D88" s="74">
        <f t="shared" si="37"/>
        <v>0</v>
      </c>
      <c r="E88" s="74">
        <f t="shared" si="37"/>
        <v>1</v>
      </c>
      <c r="F88" s="67" t="s">
        <v>230</v>
      </c>
      <c r="G88" s="67" t="s">
        <v>1052</v>
      </c>
      <c r="H88" s="37">
        <f t="shared" si="3"/>
        <v>85</v>
      </c>
      <c r="I88" s="37"/>
    </row>
    <row r="89" spans="1:9">
      <c r="A89" s="37" t="s">
        <v>1192</v>
      </c>
      <c r="B89" s="37" t="s">
        <v>1318</v>
      </c>
      <c r="C89" s="74">
        <f t="shared" ref="C89:E89" si="38">C71</f>
        <v>0</v>
      </c>
      <c r="D89" s="74">
        <f t="shared" si="38"/>
        <v>0</v>
      </c>
      <c r="E89" s="74">
        <f t="shared" si="38"/>
        <v>4</v>
      </c>
      <c r="F89" s="67" t="s">
        <v>230</v>
      </c>
      <c r="G89" s="67" t="s">
        <v>1052</v>
      </c>
      <c r="H89" s="37">
        <f t="shared" si="3"/>
        <v>86</v>
      </c>
      <c r="I89" s="37"/>
    </row>
    <row r="90" spans="1:9">
      <c r="A90" s="37" t="s">
        <v>1193</v>
      </c>
      <c r="B90" s="37" t="s">
        <v>1319</v>
      </c>
      <c r="C90" s="74" t="str">
        <f t="shared" ref="C90:E90" si="39">C72</f>
        <v>(空文字)</v>
      </c>
      <c r="D90" s="74" t="str">
        <f t="shared" si="39"/>
        <v>(空文字)</v>
      </c>
      <c r="E90" s="74" t="str">
        <f t="shared" si="39"/>
        <v>(空文字)</v>
      </c>
      <c r="F90" s="67" t="s">
        <v>230</v>
      </c>
      <c r="G90" s="67" t="s">
        <v>1052</v>
      </c>
      <c r="H90" s="37">
        <f t="shared" si="3"/>
        <v>87</v>
      </c>
      <c r="I90" s="37"/>
    </row>
    <row r="91" spans="1:9">
      <c r="A91" s="37" t="s">
        <v>1194</v>
      </c>
      <c r="B91" s="37" t="s">
        <v>1320</v>
      </c>
      <c r="C91" s="74" t="str">
        <f t="shared" ref="C91:E91" si="40">C73</f>
        <v>(空文字)</v>
      </c>
      <c r="D91" s="74" t="str">
        <f t="shared" si="40"/>
        <v>(空文字)</v>
      </c>
      <c r="E91" s="74" t="str">
        <f t="shared" si="40"/>
        <v>(空文字)</v>
      </c>
      <c r="F91" s="67" t="s">
        <v>230</v>
      </c>
      <c r="G91" s="67" t="s">
        <v>1052</v>
      </c>
      <c r="H91" s="37">
        <f t="shared" si="3"/>
        <v>88</v>
      </c>
      <c r="I91" s="37"/>
    </row>
    <row r="92" spans="1:9">
      <c r="A92" s="37" t="s">
        <v>1195</v>
      </c>
      <c r="B92" s="37" t="s">
        <v>1321</v>
      </c>
      <c r="C92" s="74">
        <f t="shared" ref="C92:E92" si="41">C74</f>
        <v>0</v>
      </c>
      <c r="D92" s="74">
        <f t="shared" si="41"/>
        <v>0</v>
      </c>
      <c r="E92" s="74">
        <f t="shared" si="41"/>
        <v>3</v>
      </c>
      <c r="F92" s="67" t="s">
        <v>230</v>
      </c>
      <c r="G92" s="67" t="s">
        <v>1052</v>
      </c>
      <c r="H92" s="37">
        <f t="shared" si="3"/>
        <v>89</v>
      </c>
      <c r="I92" s="37"/>
    </row>
    <row r="93" spans="1:9">
      <c r="A93" s="37" t="s">
        <v>3967</v>
      </c>
      <c r="B93" s="37" t="s">
        <v>3971</v>
      </c>
      <c r="C93" s="74">
        <f t="shared" ref="C93:E93" si="42">C75</f>
        <v>10000</v>
      </c>
      <c r="D93" s="74">
        <f t="shared" si="42"/>
        <v>1000</v>
      </c>
      <c r="E93" s="74">
        <f t="shared" si="42"/>
        <v>99999000</v>
      </c>
      <c r="F93" s="67" t="s">
        <v>230</v>
      </c>
      <c r="G93" s="67" t="s">
        <v>1052</v>
      </c>
      <c r="H93" s="37">
        <f t="shared" si="3"/>
        <v>90</v>
      </c>
      <c r="I93" s="37"/>
    </row>
    <row r="94" spans="1:9">
      <c r="A94" s="37" t="s">
        <v>4073</v>
      </c>
      <c r="B94" s="37" t="s">
        <v>3972</v>
      </c>
      <c r="C94" s="74">
        <f t="shared" ref="C94:E94" si="43">C76</f>
        <v>0</v>
      </c>
      <c r="D94" s="74">
        <f t="shared" si="43"/>
        <v>0</v>
      </c>
      <c r="E94" s="74">
        <f t="shared" si="43"/>
        <v>1</v>
      </c>
      <c r="F94" s="67" t="s">
        <v>230</v>
      </c>
      <c r="G94" s="67" t="s">
        <v>1052</v>
      </c>
      <c r="H94" s="37">
        <f t="shared" si="3"/>
        <v>91</v>
      </c>
      <c r="I94" s="37"/>
    </row>
    <row r="95" spans="1:9">
      <c r="A95" s="37" t="s">
        <v>1196</v>
      </c>
      <c r="B95" s="37" t="s">
        <v>1322</v>
      </c>
      <c r="C95" s="91">
        <f t="shared" ref="C95" si="44">C77+1</f>
        <v>105</v>
      </c>
      <c r="D95" s="74">
        <f t="shared" ref="D95:E95" si="45">D77</f>
        <v>1</v>
      </c>
      <c r="E95" s="74">
        <f t="shared" si="45"/>
        <v>4096</v>
      </c>
      <c r="F95" s="67" t="s">
        <v>230</v>
      </c>
      <c r="G95" s="67" t="s">
        <v>230</v>
      </c>
      <c r="H95" s="37">
        <f t="shared" si="3"/>
        <v>92</v>
      </c>
      <c r="I95" s="37"/>
    </row>
    <row r="96" spans="1:9">
      <c r="A96" s="37" t="s">
        <v>1197</v>
      </c>
      <c r="B96" s="37" t="s">
        <v>1323</v>
      </c>
      <c r="C96" s="74" t="str">
        <f t="shared" ref="C96:E96" si="46">C78</f>
        <v>0x00000000</v>
      </c>
      <c r="D96" s="74" t="str">
        <f t="shared" si="46"/>
        <v>0x80000000</v>
      </c>
      <c r="E96" s="74" t="str">
        <f t="shared" si="46"/>
        <v>0x7fffffff</v>
      </c>
      <c r="F96" s="67" t="s">
        <v>230</v>
      </c>
      <c r="G96" s="67" t="s">
        <v>1052</v>
      </c>
      <c r="H96" s="37">
        <f t="shared" si="3"/>
        <v>93</v>
      </c>
      <c r="I96" s="37"/>
    </row>
    <row r="97" spans="1:9">
      <c r="A97" s="37" t="s">
        <v>1198</v>
      </c>
      <c r="B97" s="37" t="s">
        <v>1324</v>
      </c>
      <c r="C97" s="74">
        <f t="shared" ref="C97:E97" si="47">C79</f>
        <v>0</v>
      </c>
      <c r="D97" s="74">
        <f t="shared" si="47"/>
        <v>0</v>
      </c>
      <c r="E97" s="74">
        <f t="shared" si="47"/>
        <v>65535</v>
      </c>
      <c r="F97" s="67" t="s">
        <v>230</v>
      </c>
      <c r="G97" s="67" t="s">
        <v>1052</v>
      </c>
      <c r="H97" s="37">
        <f t="shared" si="3"/>
        <v>94</v>
      </c>
      <c r="I97" s="37"/>
    </row>
    <row r="98" spans="1:9">
      <c r="A98" s="37" t="s">
        <v>1199</v>
      </c>
      <c r="B98" s="37" t="s">
        <v>1325</v>
      </c>
      <c r="C98" s="74">
        <f t="shared" ref="C98:E98" si="48">C80</f>
        <v>1</v>
      </c>
      <c r="D98" s="74">
        <f t="shared" si="48"/>
        <v>0</v>
      </c>
      <c r="E98" s="74">
        <f t="shared" si="48"/>
        <v>1</v>
      </c>
      <c r="F98" s="67" t="s">
        <v>230</v>
      </c>
      <c r="G98" s="67" t="s">
        <v>1052</v>
      </c>
      <c r="H98" s="37">
        <f t="shared" si="3"/>
        <v>95</v>
      </c>
      <c r="I98" s="37"/>
    </row>
    <row r="99" spans="1:9">
      <c r="A99" s="37" t="s">
        <v>1200</v>
      </c>
      <c r="B99" s="37" t="s">
        <v>1326</v>
      </c>
      <c r="C99" s="74">
        <f t="shared" ref="C99:E99" si="49">C81</f>
        <v>0</v>
      </c>
      <c r="D99" s="74">
        <f t="shared" si="49"/>
        <v>0</v>
      </c>
      <c r="E99" s="74">
        <f t="shared" si="49"/>
        <v>65535</v>
      </c>
      <c r="F99" s="67" t="s">
        <v>230</v>
      </c>
      <c r="G99" s="67" t="s">
        <v>1052</v>
      </c>
      <c r="H99" s="37">
        <f t="shared" si="3"/>
        <v>96</v>
      </c>
      <c r="I99" s="37"/>
    </row>
    <row r="100" spans="1:9">
      <c r="A100" s="37" t="s">
        <v>1201</v>
      </c>
      <c r="B100" s="37" t="s">
        <v>1327</v>
      </c>
      <c r="C100" s="74">
        <f t="shared" ref="C100:E100" si="50">C82</f>
        <v>0</v>
      </c>
      <c r="D100" s="74">
        <f t="shared" si="50"/>
        <v>0</v>
      </c>
      <c r="E100" s="74">
        <f t="shared" si="50"/>
        <v>1</v>
      </c>
      <c r="F100" s="67" t="s">
        <v>230</v>
      </c>
      <c r="G100" s="67" t="s">
        <v>1052</v>
      </c>
      <c r="H100" s="37">
        <f t="shared" si="3"/>
        <v>97</v>
      </c>
      <c r="I100" s="37"/>
    </row>
    <row r="101" spans="1:9">
      <c r="A101" s="37" t="s">
        <v>1202</v>
      </c>
      <c r="B101" s="37" t="s">
        <v>1328</v>
      </c>
      <c r="C101" s="74">
        <f t="shared" ref="C101:E101" si="51">C83</f>
        <v>1</v>
      </c>
      <c r="D101" s="74">
        <f t="shared" si="51"/>
        <v>0</v>
      </c>
      <c r="E101" s="74">
        <f t="shared" si="51"/>
        <v>2</v>
      </c>
      <c r="F101" s="67" t="s">
        <v>230</v>
      </c>
      <c r="G101" s="67" t="s">
        <v>1052</v>
      </c>
      <c r="H101" s="37">
        <f t="shared" si="3"/>
        <v>98</v>
      </c>
      <c r="I101" s="37"/>
    </row>
    <row r="102" spans="1:9">
      <c r="A102" s="37" t="s">
        <v>1203</v>
      </c>
      <c r="B102" s="37" t="s">
        <v>1329</v>
      </c>
      <c r="C102" s="74">
        <f t="shared" ref="C102:E102" si="52">C84</f>
        <v>0</v>
      </c>
      <c r="D102" s="74">
        <f t="shared" si="52"/>
        <v>0</v>
      </c>
      <c r="E102" s="74">
        <f t="shared" si="52"/>
        <v>3</v>
      </c>
      <c r="F102" s="67" t="s">
        <v>230</v>
      </c>
      <c r="G102" s="67" t="s">
        <v>1052</v>
      </c>
      <c r="H102" s="37">
        <f t="shared" si="3"/>
        <v>99</v>
      </c>
      <c r="I102" s="37"/>
    </row>
    <row r="103" spans="1:9">
      <c r="A103" s="37" t="s">
        <v>1204</v>
      </c>
      <c r="B103" s="37" t="s">
        <v>1330</v>
      </c>
      <c r="C103" s="74">
        <f t="shared" ref="C103:E103" si="53">C85</f>
        <v>0</v>
      </c>
      <c r="D103" s="74">
        <f t="shared" si="53"/>
        <v>0</v>
      </c>
      <c r="E103" s="74">
        <f t="shared" si="53"/>
        <v>3</v>
      </c>
      <c r="F103" s="67" t="s">
        <v>230</v>
      </c>
      <c r="G103" s="67" t="s">
        <v>1052</v>
      </c>
      <c r="H103" s="37">
        <f t="shared" si="3"/>
        <v>100</v>
      </c>
      <c r="I103" s="37"/>
    </row>
    <row r="104" spans="1:9">
      <c r="A104" s="37" t="s">
        <v>1205</v>
      </c>
      <c r="B104" s="37" t="s">
        <v>1331</v>
      </c>
      <c r="C104" s="74">
        <f t="shared" ref="C104:E104" si="54">C86</f>
        <v>0</v>
      </c>
      <c r="D104" s="74">
        <f t="shared" si="54"/>
        <v>0</v>
      </c>
      <c r="E104" s="74">
        <f t="shared" si="54"/>
        <v>3</v>
      </c>
      <c r="F104" s="67" t="s">
        <v>230</v>
      </c>
      <c r="G104" s="67" t="s">
        <v>1052</v>
      </c>
      <c r="H104" s="37">
        <f t="shared" si="3"/>
        <v>101</v>
      </c>
      <c r="I104" s="37"/>
    </row>
    <row r="105" spans="1:9">
      <c r="A105" s="37" t="s">
        <v>1206</v>
      </c>
      <c r="B105" s="37" t="s">
        <v>2658</v>
      </c>
      <c r="C105" s="74">
        <f t="shared" ref="C105:E105" si="55">C87</f>
        <v>0</v>
      </c>
      <c r="D105" s="74">
        <f t="shared" si="55"/>
        <v>0</v>
      </c>
      <c r="E105" s="74">
        <f t="shared" si="55"/>
        <v>1</v>
      </c>
      <c r="F105" s="67" t="s">
        <v>230</v>
      </c>
      <c r="G105" s="67" t="s">
        <v>1052</v>
      </c>
      <c r="H105" s="37">
        <f t="shared" si="3"/>
        <v>102</v>
      </c>
      <c r="I105" s="37"/>
    </row>
    <row r="106" spans="1:9">
      <c r="A106" s="37" t="s">
        <v>1207</v>
      </c>
      <c r="B106" s="37" t="s">
        <v>1332</v>
      </c>
      <c r="C106" s="74">
        <f t="shared" ref="C106:E106" si="56">C88</f>
        <v>0</v>
      </c>
      <c r="D106" s="74">
        <f t="shared" si="56"/>
        <v>0</v>
      </c>
      <c r="E106" s="74">
        <f t="shared" si="56"/>
        <v>1</v>
      </c>
      <c r="F106" s="67" t="s">
        <v>230</v>
      </c>
      <c r="G106" s="67" t="s">
        <v>1052</v>
      </c>
      <c r="H106" s="37">
        <f t="shared" ref="H106:H123" si="57">ROW()-3</f>
        <v>103</v>
      </c>
      <c r="I106" s="37"/>
    </row>
    <row r="107" spans="1:9">
      <c r="A107" s="37" t="s">
        <v>1208</v>
      </c>
      <c r="B107" s="37" t="s">
        <v>1333</v>
      </c>
      <c r="C107" s="74">
        <f t="shared" ref="C107:E107" si="58">C89</f>
        <v>0</v>
      </c>
      <c r="D107" s="74">
        <f t="shared" si="58"/>
        <v>0</v>
      </c>
      <c r="E107" s="74">
        <f t="shared" si="58"/>
        <v>4</v>
      </c>
      <c r="F107" s="67" t="s">
        <v>230</v>
      </c>
      <c r="G107" s="67" t="s">
        <v>1052</v>
      </c>
      <c r="H107" s="37">
        <f t="shared" si="57"/>
        <v>104</v>
      </c>
      <c r="I107" s="37"/>
    </row>
    <row r="108" spans="1:9">
      <c r="A108" s="37" t="s">
        <v>1209</v>
      </c>
      <c r="B108" s="37" t="s">
        <v>1334</v>
      </c>
      <c r="C108" s="74" t="str">
        <f t="shared" ref="C108:E108" si="59">C90</f>
        <v>(空文字)</v>
      </c>
      <c r="D108" s="74" t="str">
        <f t="shared" si="59"/>
        <v>(空文字)</v>
      </c>
      <c r="E108" s="74" t="str">
        <f t="shared" si="59"/>
        <v>(空文字)</v>
      </c>
      <c r="F108" s="67" t="s">
        <v>230</v>
      </c>
      <c r="G108" s="67" t="s">
        <v>1052</v>
      </c>
      <c r="H108" s="37">
        <f t="shared" si="57"/>
        <v>105</v>
      </c>
      <c r="I108" s="37"/>
    </row>
    <row r="109" spans="1:9">
      <c r="A109" s="37" t="s">
        <v>1210</v>
      </c>
      <c r="B109" s="37" t="s">
        <v>1335</v>
      </c>
      <c r="C109" s="74" t="str">
        <f t="shared" ref="C109:E109" si="60">C91</f>
        <v>(空文字)</v>
      </c>
      <c r="D109" s="74" t="str">
        <f t="shared" si="60"/>
        <v>(空文字)</v>
      </c>
      <c r="E109" s="74" t="str">
        <f t="shared" si="60"/>
        <v>(空文字)</v>
      </c>
      <c r="F109" s="67" t="s">
        <v>230</v>
      </c>
      <c r="G109" s="67" t="s">
        <v>1052</v>
      </c>
      <c r="H109" s="37">
        <f t="shared" si="57"/>
        <v>106</v>
      </c>
      <c r="I109" s="37"/>
    </row>
    <row r="110" spans="1:9">
      <c r="A110" s="37" t="s">
        <v>1211</v>
      </c>
      <c r="B110" s="37" t="s">
        <v>1336</v>
      </c>
      <c r="C110" s="74">
        <f t="shared" ref="C110:E110" si="61">C92</f>
        <v>0</v>
      </c>
      <c r="D110" s="74">
        <f t="shared" si="61"/>
        <v>0</v>
      </c>
      <c r="E110" s="74">
        <f t="shared" si="61"/>
        <v>3</v>
      </c>
      <c r="F110" s="67" t="s">
        <v>230</v>
      </c>
      <c r="G110" s="67" t="s">
        <v>1052</v>
      </c>
      <c r="H110" s="37">
        <f t="shared" si="57"/>
        <v>107</v>
      </c>
      <c r="I110" s="37"/>
    </row>
    <row r="111" spans="1:9">
      <c r="A111" s="37" t="s">
        <v>3920</v>
      </c>
      <c r="B111" s="37" t="s">
        <v>3969</v>
      </c>
      <c r="C111" s="74">
        <f t="shared" ref="C111:E111" si="62">C93</f>
        <v>10000</v>
      </c>
      <c r="D111" s="74">
        <f t="shared" si="62"/>
        <v>1000</v>
      </c>
      <c r="E111" s="74">
        <f t="shared" si="62"/>
        <v>99999000</v>
      </c>
      <c r="F111" s="67" t="s">
        <v>230</v>
      </c>
      <c r="G111" s="67" t="s">
        <v>1052</v>
      </c>
      <c r="H111" s="37">
        <f t="shared" si="57"/>
        <v>108</v>
      </c>
      <c r="I111" s="37"/>
    </row>
    <row r="112" spans="1:9">
      <c r="A112" s="37" t="s">
        <v>4074</v>
      </c>
      <c r="B112" s="37" t="s">
        <v>3970</v>
      </c>
      <c r="C112" s="74">
        <f t="shared" ref="C112:E112" si="63">C94</f>
        <v>0</v>
      </c>
      <c r="D112" s="74">
        <f t="shared" si="63"/>
        <v>0</v>
      </c>
      <c r="E112" s="74">
        <f t="shared" si="63"/>
        <v>1</v>
      </c>
      <c r="F112" s="67" t="s">
        <v>230</v>
      </c>
      <c r="G112" s="67" t="s">
        <v>1052</v>
      </c>
      <c r="H112" s="37">
        <f t="shared" si="57"/>
        <v>109</v>
      </c>
      <c r="I112" s="37"/>
    </row>
    <row r="113" spans="1:9">
      <c r="A113" s="37" t="s">
        <v>1212</v>
      </c>
      <c r="B113" s="37" t="s">
        <v>1337</v>
      </c>
      <c r="C113" s="91">
        <f t="shared" ref="C113" si="64">C95+1</f>
        <v>106</v>
      </c>
      <c r="D113" s="74">
        <f t="shared" ref="D113:E113" si="65">D95</f>
        <v>1</v>
      </c>
      <c r="E113" s="74">
        <f t="shared" si="65"/>
        <v>4096</v>
      </c>
      <c r="F113" s="67" t="s">
        <v>230</v>
      </c>
      <c r="G113" s="67" t="s">
        <v>230</v>
      </c>
      <c r="H113" s="37">
        <f t="shared" si="57"/>
        <v>110</v>
      </c>
      <c r="I113" s="37"/>
    </row>
    <row r="114" spans="1:9">
      <c r="A114" s="37" t="s">
        <v>1213</v>
      </c>
      <c r="B114" s="37" t="s">
        <v>1338</v>
      </c>
      <c r="C114" s="74" t="str">
        <f t="shared" ref="C114:E114" si="66">C96</f>
        <v>0x00000000</v>
      </c>
      <c r="D114" s="74" t="str">
        <f t="shared" si="66"/>
        <v>0x80000000</v>
      </c>
      <c r="E114" s="74" t="str">
        <f t="shared" si="66"/>
        <v>0x7fffffff</v>
      </c>
      <c r="F114" s="67" t="s">
        <v>230</v>
      </c>
      <c r="G114" s="67" t="s">
        <v>1052</v>
      </c>
      <c r="H114" s="37">
        <f t="shared" si="57"/>
        <v>111</v>
      </c>
      <c r="I114" s="37"/>
    </row>
    <row r="115" spans="1:9">
      <c r="A115" s="37" t="s">
        <v>1214</v>
      </c>
      <c r="B115" s="37" t="s">
        <v>1339</v>
      </c>
      <c r="C115" s="74">
        <f t="shared" ref="C115:E115" si="67">C97</f>
        <v>0</v>
      </c>
      <c r="D115" s="74">
        <f t="shared" si="67"/>
        <v>0</v>
      </c>
      <c r="E115" s="74">
        <f t="shared" si="67"/>
        <v>65535</v>
      </c>
      <c r="F115" s="67" t="s">
        <v>230</v>
      </c>
      <c r="G115" s="67" t="s">
        <v>1052</v>
      </c>
      <c r="H115" s="37">
        <f t="shared" si="57"/>
        <v>112</v>
      </c>
      <c r="I115" s="37"/>
    </row>
    <row r="116" spans="1:9">
      <c r="A116" s="37" t="s">
        <v>1215</v>
      </c>
      <c r="B116" s="37" t="s">
        <v>1340</v>
      </c>
      <c r="C116" s="74">
        <f t="shared" ref="C116:E116" si="68">C98</f>
        <v>1</v>
      </c>
      <c r="D116" s="74">
        <f t="shared" si="68"/>
        <v>0</v>
      </c>
      <c r="E116" s="74">
        <f t="shared" si="68"/>
        <v>1</v>
      </c>
      <c r="F116" s="67" t="s">
        <v>230</v>
      </c>
      <c r="G116" s="67" t="s">
        <v>1052</v>
      </c>
      <c r="H116" s="37">
        <f t="shared" si="57"/>
        <v>113</v>
      </c>
      <c r="I116" s="37"/>
    </row>
    <row r="117" spans="1:9">
      <c r="A117" s="37" t="s">
        <v>1216</v>
      </c>
      <c r="B117" s="37" t="s">
        <v>1341</v>
      </c>
      <c r="C117" s="74">
        <f t="shared" ref="C117:E117" si="69">C99</f>
        <v>0</v>
      </c>
      <c r="D117" s="74">
        <f t="shared" si="69"/>
        <v>0</v>
      </c>
      <c r="E117" s="74">
        <f t="shared" si="69"/>
        <v>65535</v>
      </c>
      <c r="F117" s="67" t="s">
        <v>230</v>
      </c>
      <c r="G117" s="67" t="s">
        <v>1052</v>
      </c>
      <c r="H117" s="37">
        <f t="shared" si="57"/>
        <v>114</v>
      </c>
      <c r="I117" s="37"/>
    </row>
    <row r="118" spans="1:9">
      <c r="A118" s="37" t="s">
        <v>1217</v>
      </c>
      <c r="B118" s="37" t="s">
        <v>1342</v>
      </c>
      <c r="C118" s="74">
        <f t="shared" ref="C118:E118" si="70">C100</f>
        <v>0</v>
      </c>
      <c r="D118" s="74">
        <f t="shared" si="70"/>
        <v>0</v>
      </c>
      <c r="E118" s="74">
        <f t="shared" si="70"/>
        <v>1</v>
      </c>
      <c r="F118" s="67" t="s">
        <v>230</v>
      </c>
      <c r="G118" s="67" t="s">
        <v>1052</v>
      </c>
      <c r="H118" s="37">
        <f t="shared" si="57"/>
        <v>115</v>
      </c>
      <c r="I118" s="37"/>
    </row>
    <row r="119" spans="1:9">
      <c r="A119" s="37" t="s">
        <v>1218</v>
      </c>
      <c r="B119" s="37" t="s">
        <v>1343</v>
      </c>
      <c r="C119" s="74">
        <f t="shared" ref="C119:E119" si="71">C101</f>
        <v>1</v>
      </c>
      <c r="D119" s="74">
        <f t="shared" si="71"/>
        <v>0</v>
      </c>
      <c r="E119" s="74">
        <f t="shared" si="71"/>
        <v>2</v>
      </c>
      <c r="F119" s="67" t="s">
        <v>230</v>
      </c>
      <c r="G119" s="67" t="s">
        <v>1052</v>
      </c>
      <c r="H119" s="37">
        <f t="shared" si="57"/>
        <v>116</v>
      </c>
      <c r="I119" s="37"/>
    </row>
    <row r="120" spans="1:9">
      <c r="A120" s="37" t="s">
        <v>1219</v>
      </c>
      <c r="B120" s="37" t="s">
        <v>1344</v>
      </c>
      <c r="C120" s="74">
        <f t="shared" ref="C120:E120" si="72">C102</f>
        <v>0</v>
      </c>
      <c r="D120" s="74">
        <f t="shared" si="72"/>
        <v>0</v>
      </c>
      <c r="E120" s="74">
        <f t="shared" si="72"/>
        <v>3</v>
      </c>
      <c r="F120" s="67" t="s">
        <v>230</v>
      </c>
      <c r="G120" s="67" t="s">
        <v>1052</v>
      </c>
      <c r="H120" s="37">
        <f t="shared" si="57"/>
        <v>117</v>
      </c>
      <c r="I120" s="37"/>
    </row>
    <row r="121" spans="1:9">
      <c r="A121" s="37" t="s">
        <v>1220</v>
      </c>
      <c r="B121" s="37" t="s">
        <v>1345</v>
      </c>
      <c r="C121" s="74">
        <f t="shared" ref="C121:E121" si="73">C103</f>
        <v>0</v>
      </c>
      <c r="D121" s="74">
        <f t="shared" si="73"/>
        <v>0</v>
      </c>
      <c r="E121" s="74">
        <f t="shared" si="73"/>
        <v>3</v>
      </c>
      <c r="F121" s="67" t="s">
        <v>230</v>
      </c>
      <c r="G121" s="67" t="s">
        <v>1052</v>
      </c>
      <c r="H121" s="37">
        <f t="shared" si="57"/>
        <v>118</v>
      </c>
      <c r="I121" s="37"/>
    </row>
    <row r="122" spans="1:9">
      <c r="A122" s="37" t="s">
        <v>1221</v>
      </c>
      <c r="B122" s="37" t="s">
        <v>1346</v>
      </c>
      <c r="C122" s="74">
        <f t="shared" ref="C122:E122" si="74">C104</f>
        <v>0</v>
      </c>
      <c r="D122" s="74">
        <f t="shared" si="74"/>
        <v>0</v>
      </c>
      <c r="E122" s="74">
        <f t="shared" si="74"/>
        <v>3</v>
      </c>
      <c r="F122" s="67" t="s">
        <v>230</v>
      </c>
      <c r="G122" s="67" t="s">
        <v>1052</v>
      </c>
      <c r="H122" s="37">
        <f t="shared" si="57"/>
        <v>119</v>
      </c>
      <c r="I122" s="37"/>
    </row>
    <row r="123" spans="1:9">
      <c r="A123" s="37" t="s">
        <v>1222</v>
      </c>
      <c r="B123" s="37" t="s">
        <v>2659</v>
      </c>
      <c r="C123" s="74">
        <f t="shared" ref="C123:E123" si="75">C105</f>
        <v>0</v>
      </c>
      <c r="D123" s="74">
        <f t="shared" si="75"/>
        <v>0</v>
      </c>
      <c r="E123" s="74">
        <f t="shared" si="75"/>
        <v>1</v>
      </c>
      <c r="F123" s="67" t="s">
        <v>230</v>
      </c>
      <c r="G123" s="67" t="s">
        <v>1052</v>
      </c>
      <c r="H123" s="37">
        <f t="shared" si="57"/>
        <v>120</v>
      </c>
      <c r="I123" s="37"/>
    </row>
    <row r="124" spans="1:9">
      <c r="A124" s="37" t="s">
        <v>1223</v>
      </c>
      <c r="B124" s="37" t="s">
        <v>1347</v>
      </c>
      <c r="C124" s="74">
        <f t="shared" ref="C124:E124" si="76">C106</f>
        <v>0</v>
      </c>
      <c r="D124" s="74">
        <f t="shared" si="76"/>
        <v>0</v>
      </c>
      <c r="E124" s="74">
        <f t="shared" si="76"/>
        <v>1</v>
      </c>
      <c r="F124" s="67" t="s">
        <v>230</v>
      </c>
      <c r="G124" s="67" t="s">
        <v>1052</v>
      </c>
      <c r="H124" s="37">
        <f t="shared" ref="H124:H173" si="77">ROW()-3</f>
        <v>121</v>
      </c>
      <c r="I124" s="37"/>
    </row>
    <row r="125" spans="1:9">
      <c r="A125" s="37" t="s">
        <v>1224</v>
      </c>
      <c r="B125" s="37" t="s">
        <v>1348</v>
      </c>
      <c r="C125" s="74">
        <f t="shared" ref="C125:E125" si="78">C107</f>
        <v>0</v>
      </c>
      <c r="D125" s="74">
        <f t="shared" si="78"/>
        <v>0</v>
      </c>
      <c r="E125" s="74">
        <f t="shared" si="78"/>
        <v>4</v>
      </c>
      <c r="F125" s="67" t="s">
        <v>230</v>
      </c>
      <c r="G125" s="67" t="s">
        <v>1052</v>
      </c>
      <c r="H125" s="37">
        <f t="shared" si="77"/>
        <v>122</v>
      </c>
      <c r="I125" s="37"/>
    </row>
    <row r="126" spans="1:9">
      <c r="A126" s="37" t="s">
        <v>1225</v>
      </c>
      <c r="B126" s="37" t="s">
        <v>1349</v>
      </c>
      <c r="C126" s="74" t="str">
        <f t="shared" ref="C126:E126" si="79">C108</f>
        <v>(空文字)</v>
      </c>
      <c r="D126" s="74" t="str">
        <f t="shared" si="79"/>
        <v>(空文字)</v>
      </c>
      <c r="E126" s="74" t="str">
        <f t="shared" si="79"/>
        <v>(空文字)</v>
      </c>
      <c r="F126" s="67" t="s">
        <v>230</v>
      </c>
      <c r="G126" s="67" t="s">
        <v>1052</v>
      </c>
      <c r="H126" s="37">
        <f t="shared" si="77"/>
        <v>123</v>
      </c>
      <c r="I126" s="37"/>
    </row>
    <row r="127" spans="1:9">
      <c r="A127" s="37" t="s">
        <v>1226</v>
      </c>
      <c r="B127" s="37" t="s">
        <v>1350</v>
      </c>
      <c r="C127" s="74" t="str">
        <f t="shared" ref="C127:E127" si="80">C109</f>
        <v>(空文字)</v>
      </c>
      <c r="D127" s="74" t="str">
        <f t="shared" si="80"/>
        <v>(空文字)</v>
      </c>
      <c r="E127" s="74" t="str">
        <f t="shared" si="80"/>
        <v>(空文字)</v>
      </c>
      <c r="F127" s="67" t="s">
        <v>230</v>
      </c>
      <c r="G127" s="67" t="s">
        <v>1052</v>
      </c>
      <c r="H127" s="37">
        <f t="shared" si="77"/>
        <v>124</v>
      </c>
      <c r="I127" s="37"/>
    </row>
    <row r="128" spans="1:9">
      <c r="A128" s="37" t="s">
        <v>1227</v>
      </c>
      <c r="B128" s="37" t="s">
        <v>1351</v>
      </c>
      <c r="C128" s="74">
        <f t="shared" ref="C128:E128" si="81">C110</f>
        <v>0</v>
      </c>
      <c r="D128" s="74">
        <f t="shared" si="81"/>
        <v>0</v>
      </c>
      <c r="E128" s="74">
        <f t="shared" si="81"/>
        <v>3</v>
      </c>
      <c r="F128" s="67" t="s">
        <v>230</v>
      </c>
      <c r="G128" s="67" t="s">
        <v>1052</v>
      </c>
      <c r="H128" s="37">
        <f t="shared" si="77"/>
        <v>125</v>
      </c>
      <c r="I128" s="37"/>
    </row>
    <row r="129" spans="1:9">
      <c r="A129" s="37" t="s">
        <v>3921</v>
      </c>
      <c r="B129" s="37" t="s">
        <v>3977</v>
      </c>
      <c r="C129" s="74">
        <f t="shared" ref="C129:E129" si="82">C111</f>
        <v>10000</v>
      </c>
      <c r="D129" s="74">
        <f t="shared" si="82"/>
        <v>1000</v>
      </c>
      <c r="E129" s="74">
        <f t="shared" si="82"/>
        <v>99999000</v>
      </c>
      <c r="F129" s="67" t="s">
        <v>230</v>
      </c>
      <c r="G129" s="67" t="s">
        <v>1052</v>
      </c>
      <c r="H129" s="37">
        <f t="shared" si="77"/>
        <v>126</v>
      </c>
      <c r="I129" s="37"/>
    </row>
    <row r="130" spans="1:9">
      <c r="A130" s="37" t="s">
        <v>4075</v>
      </c>
      <c r="B130" s="37" t="s">
        <v>3978</v>
      </c>
      <c r="C130" s="74">
        <f t="shared" ref="C130:E130" si="83">C112</f>
        <v>0</v>
      </c>
      <c r="D130" s="74">
        <f t="shared" si="83"/>
        <v>0</v>
      </c>
      <c r="E130" s="74">
        <f t="shared" si="83"/>
        <v>1</v>
      </c>
      <c r="F130" s="67" t="s">
        <v>230</v>
      </c>
      <c r="G130" s="67" t="s">
        <v>1052</v>
      </c>
      <c r="H130" s="37">
        <f t="shared" si="77"/>
        <v>127</v>
      </c>
      <c r="I130" s="37"/>
    </row>
    <row r="131" spans="1:9">
      <c r="A131" s="37" t="s">
        <v>1228</v>
      </c>
      <c r="B131" s="37" t="s">
        <v>1352</v>
      </c>
      <c r="C131" s="91">
        <f t="shared" ref="C131" si="84">C113+1</f>
        <v>107</v>
      </c>
      <c r="D131" s="74">
        <f t="shared" ref="D131:E131" si="85">D113</f>
        <v>1</v>
      </c>
      <c r="E131" s="74">
        <f t="shared" si="85"/>
        <v>4096</v>
      </c>
      <c r="F131" s="67" t="s">
        <v>230</v>
      </c>
      <c r="G131" s="67" t="s">
        <v>230</v>
      </c>
      <c r="H131" s="37">
        <f t="shared" si="77"/>
        <v>128</v>
      </c>
      <c r="I131" s="37"/>
    </row>
    <row r="132" spans="1:9">
      <c r="A132" s="37" t="s">
        <v>1229</v>
      </c>
      <c r="B132" s="37" t="s">
        <v>1353</v>
      </c>
      <c r="C132" s="74" t="str">
        <f t="shared" ref="C132:E132" si="86">C114</f>
        <v>0x00000000</v>
      </c>
      <c r="D132" s="74" t="str">
        <f t="shared" si="86"/>
        <v>0x80000000</v>
      </c>
      <c r="E132" s="74" t="str">
        <f t="shared" si="86"/>
        <v>0x7fffffff</v>
      </c>
      <c r="F132" s="67" t="s">
        <v>230</v>
      </c>
      <c r="G132" s="67" t="s">
        <v>1052</v>
      </c>
      <c r="H132" s="37">
        <f t="shared" si="77"/>
        <v>129</v>
      </c>
      <c r="I132" s="37"/>
    </row>
    <row r="133" spans="1:9">
      <c r="A133" s="37" t="s">
        <v>1230</v>
      </c>
      <c r="B133" s="37" t="s">
        <v>1354</v>
      </c>
      <c r="C133" s="74">
        <f t="shared" ref="C133:E133" si="87">C115</f>
        <v>0</v>
      </c>
      <c r="D133" s="74">
        <f t="shared" si="87"/>
        <v>0</v>
      </c>
      <c r="E133" s="74">
        <f t="shared" si="87"/>
        <v>65535</v>
      </c>
      <c r="F133" s="67" t="s">
        <v>230</v>
      </c>
      <c r="G133" s="67" t="s">
        <v>1052</v>
      </c>
      <c r="H133" s="37">
        <f t="shared" si="77"/>
        <v>130</v>
      </c>
      <c r="I133" s="37"/>
    </row>
    <row r="134" spans="1:9">
      <c r="A134" s="37" t="s">
        <v>1231</v>
      </c>
      <c r="B134" s="37" t="s">
        <v>1355</v>
      </c>
      <c r="C134" s="74">
        <f t="shared" ref="C134:E134" si="88">C116</f>
        <v>1</v>
      </c>
      <c r="D134" s="74">
        <f t="shared" si="88"/>
        <v>0</v>
      </c>
      <c r="E134" s="74">
        <f t="shared" si="88"/>
        <v>1</v>
      </c>
      <c r="F134" s="67" t="s">
        <v>230</v>
      </c>
      <c r="G134" s="67" t="s">
        <v>1052</v>
      </c>
      <c r="H134" s="37">
        <f t="shared" si="77"/>
        <v>131</v>
      </c>
      <c r="I134" s="37"/>
    </row>
    <row r="135" spans="1:9">
      <c r="A135" s="37" t="s">
        <v>1232</v>
      </c>
      <c r="B135" s="37" t="s">
        <v>1356</v>
      </c>
      <c r="C135" s="74">
        <f t="shared" ref="C135:E135" si="89">C117</f>
        <v>0</v>
      </c>
      <c r="D135" s="74">
        <f t="shared" si="89"/>
        <v>0</v>
      </c>
      <c r="E135" s="74">
        <f t="shared" si="89"/>
        <v>65535</v>
      </c>
      <c r="F135" s="67" t="s">
        <v>230</v>
      </c>
      <c r="G135" s="67" t="s">
        <v>1052</v>
      </c>
      <c r="H135" s="37">
        <f t="shared" si="77"/>
        <v>132</v>
      </c>
      <c r="I135" s="37"/>
    </row>
    <row r="136" spans="1:9">
      <c r="A136" s="37" t="s">
        <v>1233</v>
      </c>
      <c r="B136" s="37" t="s">
        <v>1357</v>
      </c>
      <c r="C136" s="74">
        <f t="shared" ref="C136:E136" si="90">C118</f>
        <v>0</v>
      </c>
      <c r="D136" s="74">
        <f t="shared" si="90"/>
        <v>0</v>
      </c>
      <c r="E136" s="74">
        <f t="shared" si="90"/>
        <v>1</v>
      </c>
      <c r="F136" s="67" t="s">
        <v>230</v>
      </c>
      <c r="G136" s="67" t="s">
        <v>1052</v>
      </c>
      <c r="H136" s="37">
        <f t="shared" si="77"/>
        <v>133</v>
      </c>
      <c r="I136" s="37"/>
    </row>
    <row r="137" spans="1:9">
      <c r="A137" s="37" t="s">
        <v>1234</v>
      </c>
      <c r="B137" s="37" t="s">
        <v>1358</v>
      </c>
      <c r="C137" s="74">
        <f t="shared" ref="C137:E137" si="91">C119</f>
        <v>1</v>
      </c>
      <c r="D137" s="74">
        <f t="shared" si="91"/>
        <v>0</v>
      </c>
      <c r="E137" s="74">
        <f t="shared" si="91"/>
        <v>2</v>
      </c>
      <c r="F137" s="67" t="s">
        <v>230</v>
      </c>
      <c r="G137" s="67" t="s">
        <v>1052</v>
      </c>
      <c r="H137" s="37">
        <f t="shared" si="77"/>
        <v>134</v>
      </c>
      <c r="I137" s="37"/>
    </row>
    <row r="138" spans="1:9">
      <c r="A138" s="37" t="s">
        <v>1235</v>
      </c>
      <c r="B138" s="37" t="s">
        <v>1359</v>
      </c>
      <c r="C138" s="74">
        <f t="shared" ref="C138:E138" si="92">C120</f>
        <v>0</v>
      </c>
      <c r="D138" s="74">
        <f t="shared" si="92"/>
        <v>0</v>
      </c>
      <c r="E138" s="74">
        <f t="shared" si="92"/>
        <v>3</v>
      </c>
      <c r="F138" s="67" t="s">
        <v>230</v>
      </c>
      <c r="G138" s="67" t="s">
        <v>1052</v>
      </c>
      <c r="H138" s="37">
        <f t="shared" si="77"/>
        <v>135</v>
      </c>
      <c r="I138" s="37"/>
    </row>
    <row r="139" spans="1:9">
      <c r="A139" s="37" t="s">
        <v>1236</v>
      </c>
      <c r="B139" s="37" t="s">
        <v>1360</v>
      </c>
      <c r="C139" s="74">
        <f t="shared" ref="C139:E139" si="93">C121</f>
        <v>0</v>
      </c>
      <c r="D139" s="74">
        <f t="shared" si="93"/>
        <v>0</v>
      </c>
      <c r="E139" s="74">
        <f t="shared" si="93"/>
        <v>3</v>
      </c>
      <c r="F139" s="67" t="s">
        <v>230</v>
      </c>
      <c r="G139" s="67" t="s">
        <v>1052</v>
      </c>
      <c r="H139" s="37">
        <f t="shared" si="77"/>
        <v>136</v>
      </c>
      <c r="I139" s="37"/>
    </row>
    <row r="140" spans="1:9">
      <c r="A140" s="37" t="s">
        <v>1237</v>
      </c>
      <c r="B140" s="37" t="s">
        <v>1361</v>
      </c>
      <c r="C140" s="74">
        <f t="shared" ref="C140:E140" si="94">C122</f>
        <v>0</v>
      </c>
      <c r="D140" s="74">
        <f t="shared" si="94"/>
        <v>0</v>
      </c>
      <c r="E140" s="74">
        <f t="shared" si="94"/>
        <v>3</v>
      </c>
      <c r="F140" s="67" t="s">
        <v>230</v>
      </c>
      <c r="G140" s="67" t="s">
        <v>1052</v>
      </c>
      <c r="H140" s="37">
        <f t="shared" si="77"/>
        <v>137</v>
      </c>
      <c r="I140" s="37"/>
    </row>
    <row r="141" spans="1:9">
      <c r="A141" s="37" t="s">
        <v>1238</v>
      </c>
      <c r="B141" s="37" t="s">
        <v>2660</v>
      </c>
      <c r="C141" s="74">
        <f t="shared" ref="C141:E141" si="95">C123</f>
        <v>0</v>
      </c>
      <c r="D141" s="74">
        <f t="shared" si="95"/>
        <v>0</v>
      </c>
      <c r="E141" s="74">
        <f t="shared" si="95"/>
        <v>1</v>
      </c>
      <c r="F141" s="67" t="s">
        <v>230</v>
      </c>
      <c r="G141" s="67" t="s">
        <v>1052</v>
      </c>
      <c r="H141" s="37">
        <f t="shared" si="77"/>
        <v>138</v>
      </c>
      <c r="I141" s="37"/>
    </row>
    <row r="142" spans="1:9">
      <c r="A142" s="37" t="s">
        <v>1239</v>
      </c>
      <c r="B142" s="37" t="s">
        <v>1362</v>
      </c>
      <c r="C142" s="74">
        <f t="shared" ref="C142:E142" si="96">C124</f>
        <v>0</v>
      </c>
      <c r="D142" s="74">
        <f t="shared" si="96"/>
        <v>0</v>
      </c>
      <c r="E142" s="74">
        <f t="shared" si="96"/>
        <v>1</v>
      </c>
      <c r="F142" s="67" t="s">
        <v>230</v>
      </c>
      <c r="G142" s="67" t="s">
        <v>1052</v>
      </c>
      <c r="H142" s="37">
        <f t="shared" si="77"/>
        <v>139</v>
      </c>
      <c r="I142" s="37"/>
    </row>
    <row r="143" spans="1:9">
      <c r="A143" s="37" t="s">
        <v>1240</v>
      </c>
      <c r="B143" s="37" t="s">
        <v>1363</v>
      </c>
      <c r="C143" s="74">
        <f t="shared" ref="C143:E143" si="97">C125</f>
        <v>0</v>
      </c>
      <c r="D143" s="74">
        <f t="shared" si="97"/>
        <v>0</v>
      </c>
      <c r="E143" s="74">
        <f t="shared" si="97"/>
        <v>4</v>
      </c>
      <c r="F143" s="67" t="s">
        <v>230</v>
      </c>
      <c r="G143" s="67" t="s">
        <v>1052</v>
      </c>
      <c r="H143" s="37">
        <f t="shared" si="77"/>
        <v>140</v>
      </c>
      <c r="I143" s="37"/>
    </row>
    <row r="144" spans="1:9">
      <c r="A144" s="37" t="s">
        <v>1241</v>
      </c>
      <c r="B144" s="37" t="s">
        <v>1364</v>
      </c>
      <c r="C144" s="74" t="str">
        <f t="shared" ref="C144:E144" si="98">C126</f>
        <v>(空文字)</v>
      </c>
      <c r="D144" s="74" t="str">
        <f t="shared" si="98"/>
        <v>(空文字)</v>
      </c>
      <c r="E144" s="74" t="str">
        <f t="shared" si="98"/>
        <v>(空文字)</v>
      </c>
      <c r="F144" s="67" t="s">
        <v>230</v>
      </c>
      <c r="G144" s="67" t="s">
        <v>1052</v>
      </c>
      <c r="H144" s="37">
        <f t="shared" si="77"/>
        <v>141</v>
      </c>
      <c r="I144" s="37"/>
    </row>
    <row r="145" spans="1:9">
      <c r="A145" s="37" t="s">
        <v>1242</v>
      </c>
      <c r="B145" s="37" t="s">
        <v>1365</v>
      </c>
      <c r="C145" s="74" t="str">
        <f t="shared" ref="C145:E145" si="99">C127</f>
        <v>(空文字)</v>
      </c>
      <c r="D145" s="74" t="str">
        <f t="shared" si="99"/>
        <v>(空文字)</v>
      </c>
      <c r="E145" s="74" t="str">
        <f t="shared" si="99"/>
        <v>(空文字)</v>
      </c>
      <c r="F145" s="67" t="s">
        <v>230</v>
      </c>
      <c r="G145" s="67" t="s">
        <v>1052</v>
      </c>
      <c r="H145" s="37">
        <f t="shared" si="77"/>
        <v>142</v>
      </c>
      <c r="I145" s="37"/>
    </row>
    <row r="146" spans="1:9">
      <c r="A146" s="37" t="s">
        <v>1243</v>
      </c>
      <c r="B146" s="37" t="s">
        <v>1366</v>
      </c>
      <c r="C146" s="74">
        <f t="shared" ref="C146:E146" si="100">C128</f>
        <v>0</v>
      </c>
      <c r="D146" s="74">
        <f t="shared" si="100"/>
        <v>0</v>
      </c>
      <c r="E146" s="74">
        <f t="shared" si="100"/>
        <v>3</v>
      </c>
      <c r="F146" s="67" t="s">
        <v>230</v>
      </c>
      <c r="G146" s="67" t="s">
        <v>1052</v>
      </c>
      <c r="H146" s="37">
        <f t="shared" si="77"/>
        <v>143</v>
      </c>
      <c r="I146" s="37"/>
    </row>
    <row r="147" spans="1:9">
      <c r="A147" s="37" t="s">
        <v>3922</v>
      </c>
      <c r="B147" s="37" t="s">
        <v>3979</v>
      </c>
      <c r="C147" s="74">
        <f t="shared" ref="C147:E147" si="101">C129</f>
        <v>10000</v>
      </c>
      <c r="D147" s="74">
        <f t="shared" si="101"/>
        <v>1000</v>
      </c>
      <c r="E147" s="74">
        <f t="shared" si="101"/>
        <v>99999000</v>
      </c>
      <c r="F147" s="67" t="s">
        <v>230</v>
      </c>
      <c r="G147" s="67" t="s">
        <v>1052</v>
      </c>
      <c r="H147" s="37">
        <f t="shared" si="77"/>
        <v>144</v>
      </c>
      <c r="I147" s="37"/>
    </row>
    <row r="148" spans="1:9">
      <c r="A148" s="37" t="s">
        <v>4076</v>
      </c>
      <c r="B148" s="37" t="s">
        <v>3980</v>
      </c>
      <c r="C148" s="74">
        <f t="shared" ref="C148:E148" si="102">C130</f>
        <v>0</v>
      </c>
      <c r="D148" s="74">
        <f t="shared" si="102"/>
        <v>0</v>
      </c>
      <c r="E148" s="74">
        <f t="shared" si="102"/>
        <v>1</v>
      </c>
      <c r="F148" s="67" t="s">
        <v>230</v>
      </c>
      <c r="G148" s="67" t="s">
        <v>1052</v>
      </c>
      <c r="H148" s="37">
        <f t="shared" si="77"/>
        <v>145</v>
      </c>
      <c r="I148" s="37"/>
    </row>
    <row r="149" spans="1:9">
      <c r="A149" s="37" t="s">
        <v>1244</v>
      </c>
      <c r="B149" s="37" t="s">
        <v>1367</v>
      </c>
      <c r="C149" s="91">
        <f t="shared" ref="C149" si="103">C131+1</f>
        <v>108</v>
      </c>
      <c r="D149" s="74">
        <f t="shared" ref="D149:E149" si="104">D131</f>
        <v>1</v>
      </c>
      <c r="E149" s="74">
        <f t="shared" si="104"/>
        <v>4096</v>
      </c>
      <c r="F149" s="67" t="s">
        <v>230</v>
      </c>
      <c r="G149" s="67" t="s">
        <v>230</v>
      </c>
      <c r="H149" s="37">
        <f t="shared" si="77"/>
        <v>146</v>
      </c>
      <c r="I149" s="37"/>
    </row>
    <row r="150" spans="1:9">
      <c r="A150" s="37" t="s">
        <v>1245</v>
      </c>
      <c r="B150" s="37" t="s">
        <v>1368</v>
      </c>
      <c r="C150" s="74" t="str">
        <f t="shared" ref="C150:E150" si="105">C132</f>
        <v>0x00000000</v>
      </c>
      <c r="D150" s="74" t="str">
        <f t="shared" si="105"/>
        <v>0x80000000</v>
      </c>
      <c r="E150" s="74" t="str">
        <f t="shared" si="105"/>
        <v>0x7fffffff</v>
      </c>
      <c r="F150" s="67" t="s">
        <v>230</v>
      </c>
      <c r="G150" s="67" t="s">
        <v>1052</v>
      </c>
      <c r="H150" s="37">
        <f t="shared" si="77"/>
        <v>147</v>
      </c>
      <c r="I150" s="37"/>
    </row>
    <row r="151" spans="1:9">
      <c r="A151" s="37" t="s">
        <v>1246</v>
      </c>
      <c r="B151" s="37" t="s">
        <v>1369</v>
      </c>
      <c r="C151" s="74">
        <f t="shared" ref="C151:E151" si="106">C133</f>
        <v>0</v>
      </c>
      <c r="D151" s="74">
        <f t="shared" si="106"/>
        <v>0</v>
      </c>
      <c r="E151" s="74">
        <f t="shared" si="106"/>
        <v>65535</v>
      </c>
      <c r="F151" s="67" t="s">
        <v>230</v>
      </c>
      <c r="G151" s="67" t="s">
        <v>1052</v>
      </c>
      <c r="H151" s="37">
        <f t="shared" si="77"/>
        <v>148</v>
      </c>
      <c r="I151" s="37"/>
    </row>
    <row r="152" spans="1:9">
      <c r="A152" s="37" t="s">
        <v>1247</v>
      </c>
      <c r="B152" s="37" t="s">
        <v>1370</v>
      </c>
      <c r="C152" s="74">
        <f t="shared" ref="C152:E152" si="107">C134</f>
        <v>1</v>
      </c>
      <c r="D152" s="74">
        <f t="shared" si="107"/>
        <v>0</v>
      </c>
      <c r="E152" s="74">
        <f t="shared" si="107"/>
        <v>1</v>
      </c>
      <c r="F152" s="67" t="s">
        <v>230</v>
      </c>
      <c r="G152" s="67" t="s">
        <v>1052</v>
      </c>
      <c r="H152" s="37">
        <f t="shared" si="77"/>
        <v>149</v>
      </c>
      <c r="I152" s="37"/>
    </row>
    <row r="153" spans="1:9">
      <c r="A153" s="37" t="s">
        <v>1248</v>
      </c>
      <c r="B153" s="37" t="s">
        <v>1371</v>
      </c>
      <c r="C153" s="74">
        <f t="shared" ref="C153:E153" si="108">C135</f>
        <v>0</v>
      </c>
      <c r="D153" s="74">
        <f t="shared" si="108"/>
        <v>0</v>
      </c>
      <c r="E153" s="74">
        <f t="shared" si="108"/>
        <v>65535</v>
      </c>
      <c r="F153" s="67" t="s">
        <v>230</v>
      </c>
      <c r="G153" s="67" t="s">
        <v>1052</v>
      </c>
      <c r="H153" s="37">
        <f t="shared" si="77"/>
        <v>150</v>
      </c>
      <c r="I153" s="37"/>
    </row>
    <row r="154" spans="1:9">
      <c r="A154" s="37" t="s">
        <v>1249</v>
      </c>
      <c r="B154" s="37" t="s">
        <v>1372</v>
      </c>
      <c r="C154" s="74">
        <f t="shared" ref="C154:E154" si="109">C136</f>
        <v>0</v>
      </c>
      <c r="D154" s="74">
        <f t="shared" si="109"/>
        <v>0</v>
      </c>
      <c r="E154" s="74">
        <f t="shared" si="109"/>
        <v>1</v>
      </c>
      <c r="F154" s="67" t="s">
        <v>230</v>
      </c>
      <c r="G154" s="67" t="s">
        <v>1052</v>
      </c>
      <c r="H154" s="37">
        <f t="shared" si="77"/>
        <v>151</v>
      </c>
      <c r="I154" s="37"/>
    </row>
    <row r="155" spans="1:9">
      <c r="A155" s="37" t="s">
        <v>1250</v>
      </c>
      <c r="B155" s="37" t="s">
        <v>1373</v>
      </c>
      <c r="C155" s="74">
        <f t="shared" ref="C155:E155" si="110">C137</f>
        <v>1</v>
      </c>
      <c r="D155" s="74">
        <f t="shared" si="110"/>
        <v>0</v>
      </c>
      <c r="E155" s="74">
        <f t="shared" si="110"/>
        <v>2</v>
      </c>
      <c r="F155" s="67" t="s">
        <v>230</v>
      </c>
      <c r="G155" s="67" t="s">
        <v>1052</v>
      </c>
      <c r="H155" s="37">
        <f t="shared" si="77"/>
        <v>152</v>
      </c>
      <c r="I155" s="37"/>
    </row>
    <row r="156" spans="1:9">
      <c r="A156" s="37" t="s">
        <v>1251</v>
      </c>
      <c r="B156" s="37" t="s">
        <v>1374</v>
      </c>
      <c r="C156" s="74">
        <f t="shared" ref="C156:E156" si="111">C138</f>
        <v>0</v>
      </c>
      <c r="D156" s="74">
        <f t="shared" si="111"/>
        <v>0</v>
      </c>
      <c r="E156" s="74">
        <f t="shared" si="111"/>
        <v>3</v>
      </c>
      <c r="F156" s="67" t="s">
        <v>230</v>
      </c>
      <c r="G156" s="67" t="s">
        <v>1052</v>
      </c>
      <c r="H156" s="37">
        <f t="shared" si="77"/>
        <v>153</v>
      </c>
      <c r="I156" s="37"/>
    </row>
    <row r="157" spans="1:9">
      <c r="A157" s="37" t="s">
        <v>1252</v>
      </c>
      <c r="B157" s="37" t="s">
        <v>1375</v>
      </c>
      <c r="C157" s="74">
        <f t="shared" ref="C157:E157" si="112">C139</f>
        <v>0</v>
      </c>
      <c r="D157" s="74">
        <f t="shared" si="112"/>
        <v>0</v>
      </c>
      <c r="E157" s="74">
        <f t="shared" si="112"/>
        <v>3</v>
      </c>
      <c r="F157" s="67" t="s">
        <v>230</v>
      </c>
      <c r="G157" s="67" t="s">
        <v>1052</v>
      </c>
      <c r="H157" s="37">
        <f t="shared" si="77"/>
        <v>154</v>
      </c>
      <c r="I157" s="37"/>
    </row>
    <row r="158" spans="1:9">
      <c r="A158" s="37" t="s">
        <v>1253</v>
      </c>
      <c r="B158" s="37" t="s">
        <v>1376</v>
      </c>
      <c r="C158" s="74">
        <f t="shared" ref="C158:E158" si="113">C140</f>
        <v>0</v>
      </c>
      <c r="D158" s="74">
        <f t="shared" si="113"/>
        <v>0</v>
      </c>
      <c r="E158" s="74">
        <f t="shared" si="113"/>
        <v>3</v>
      </c>
      <c r="F158" s="67" t="s">
        <v>230</v>
      </c>
      <c r="G158" s="67" t="s">
        <v>1052</v>
      </c>
      <c r="H158" s="37">
        <f t="shared" si="77"/>
        <v>155</v>
      </c>
      <c r="I158" s="37"/>
    </row>
    <row r="159" spans="1:9">
      <c r="A159" s="37" t="s">
        <v>1254</v>
      </c>
      <c r="B159" s="37" t="s">
        <v>2661</v>
      </c>
      <c r="C159" s="74">
        <f t="shared" ref="C159:E159" si="114">C141</f>
        <v>0</v>
      </c>
      <c r="D159" s="74">
        <f t="shared" si="114"/>
        <v>0</v>
      </c>
      <c r="E159" s="74">
        <f t="shared" si="114"/>
        <v>1</v>
      </c>
      <c r="F159" s="67" t="s">
        <v>230</v>
      </c>
      <c r="G159" s="67" t="s">
        <v>1052</v>
      </c>
      <c r="H159" s="37">
        <f t="shared" si="77"/>
        <v>156</v>
      </c>
      <c r="I159" s="37"/>
    </row>
    <row r="160" spans="1:9">
      <c r="A160" s="37" t="s">
        <v>1255</v>
      </c>
      <c r="B160" s="37" t="s">
        <v>1377</v>
      </c>
      <c r="C160" s="74">
        <f t="shared" ref="C160:E160" si="115">C142</f>
        <v>0</v>
      </c>
      <c r="D160" s="74">
        <f t="shared" si="115"/>
        <v>0</v>
      </c>
      <c r="E160" s="74">
        <f t="shared" si="115"/>
        <v>1</v>
      </c>
      <c r="F160" s="67" t="s">
        <v>230</v>
      </c>
      <c r="G160" s="67" t="s">
        <v>1052</v>
      </c>
      <c r="H160" s="37">
        <f t="shared" si="77"/>
        <v>157</v>
      </c>
      <c r="I160" s="37"/>
    </row>
    <row r="161" spans="1:9">
      <c r="A161" s="37" t="s">
        <v>1256</v>
      </c>
      <c r="B161" s="37" t="s">
        <v>1378</v>
      </c>
      <c r="C161" s="74">
        <f t="shared" ref="C161:E161" si="116">C143</f>
        <v>0</v>
      </c>
      <c r="D161" s="74">
        <f t="shared" si="116"/>
        <v>0</v>
      </c>
      <c r="E161" s="74">
        <f t="shared" si="116"/>
        <v>4</v>
      </c>
      <c r="F161" s="67" t="s">
        <v>230</v>
      </c>
      <c r="G161" s="67" t="s">
        <v>1052</v>
      </c>
      <c r="H161" s="37">
        <f t="shared" si="77"/>
        <v>158</v>
      </c>
      <c r="I161" s="37"/>
    </row>
    <row r="162" spans="1:9">
      <c r="A162" s="37" t="s">
        <v>1257</v>
      </c>
      <c r="B162" s="37" t="s">
        <v>1379</v>
      </c>
      <c r="C162" s="74" t="str">
        <f t="shared" ref="C162:E162" si="117">C144</f>
        <v>(空文字)</v>
      </c>
      <c r="D162" s="74" t="str">
        <f t="shared" si="117"/>
        <v>(空文字)</v>
      </c>
      <c r="E162" s="74" t="str">
        <f t="shared" si="117"/>
        <v>(空文字)</v>
      </c>
      <c r="F162" s="67" t="s">
        <v>230</v>
      </c>
      <c r="G162" s="67" t="s">
        <v>1052</v>
      </c>
      <c r="H162" s="37">
        <f t="shared" si="77"/>
        <v>159</v>
      </c>
      <c r="I162" s="37"/>
    </row>
    <row r="163" spans="1:9">
      <c r="A163" s="37" t="s">
        <v>1258</v>
      </c>
      <c r="B163" s="37" t="s">
        <v>1380</v>
      </c>
      <c r="C163" s="74" t="str">
        <f t="shared" ref="C163:E163" si="118">C145</f>
        <v>(空文字)</v>
      </c>
      <c r="D163" s="74" t="str">
        <f t="shared" si="118"/>
        <v>(空文字)</v>
      </c>
      <c r="E163" s="74" t="str">
        <f t="shared" si="118"/>
        <v>(空文字)</v>
      </c>
      <c r="F163" s="67" t="s">
        <v>230</v>
      </c>
      <c r="G163" s="67" t="s">
        <v>1052</v>
      </c>
      <c r="H163" s="37">
        <f t="shared" si="77"/>
        <v>160</v>
      </c>
      <c r="I163" s="37"/>
    </row>
    <row r="164" spans="1:9">
      <c r="A164" s="37" t="s">
        <v>1259</v>
      </c>
      <c r="B164" s="37" t="s">
        <v>1381</v>
      </c>
      <c r="C164" s="74">
        <f t="shared" ref="C164:E164" si="119">C146</f>
        <v>0</v>
      </c>
      <c r="D164" s="74">
        <f t="shared" si="119"/>
        <v>0</v>
      </c>
      <c r="E164" s="74">
        <f t="shared" si="119"/>
        <v>3</v>
      </c>
      <c r="F164" s="67" t="s">
        <v>230</v>
      </c>
      <c r="G164" s="67" t="s">
        <v>1052</v>
      </c>
      <c r="H164" s="37">
        <f t="shared" si="77"/>
        <v>161</v>
      </c>
      <c r="I164" s="37"/>
    </row>
    <row r="165" spans="1:9">
      <c r="A165" s="37" t="s">
        <v>3923</v>
      </c>
      <c r="B165" s="37" t="s">
        <v>3981</v>
      </c>
      <c r="C165" s="74">
        <f t="shared" ref="C165:E165" si="120">C147</f>
        <v>10000</v>
      </c>
      <c r="D165" s="74">
        <f t="shared" si="120"/>
        <v>1000</v>
      </c>
      <c r="E165" s="74">
        <f t="shared" si="120"/>
        <v>99999000</v>
      </c>
      <c r="F165" s="67" t="s">
        <v>230</v>
      </c>
      <c r="G165" s="67" t="s">
        <v>1052</v>
      </c>
      <c r="H165" s="37">
        <f t="shared" si="77"/>
        <v>162</v>
      </c>
      <c r="I165" s="37"/>
    </row>
    <row r="166" spans="1:9">
      <c r="A166" s="37" t="s">
        <v>4077</v>
      </c>
      <c r="B166" s="37" t="s">
        <v>3982</v>
      </c>
      <c r="C166" s="74">
        <f t="shared" ref="C166:E166" si="121">C148</f>
        <v>0</v>
      </c>
      <c r="D166" s="74">
        <f t="shared" si="121"/>
        <v>0</v>
      </c>
      <c r="E166" s="74">
        <f t="shared" si="121"/>
        <v>1</v>
      </c>
      <c r="F166" s="67" t="s">
        <v>230</v>
      </c>
      <c r="G166" s="67" t="s">
        <v>1052</v>
      </c>
      <c r="H166" s="37">
        <f t="shared" si="77"/>
        <v>163</v>
      </c>
      <c r="I166" s="37"/>
    </row>
    <row r="167" spans="1:9">
      <c r="A167" s="37" t="s">
        <v>1260</v>
      </c>
      <c r="B167" s="37" t="s">
        <v>1382</v>
      </c>
      <c r="C167" s="91">
        <f t="shared" ref="C167" si="122">C149+1</f>
        <v>109</v>
      </c>
      <c r="D167" s="74">
        <f t="shared" ref="D167:E167" si="123">D149</f>
        <v>1</v>
      </c>
      <c r="E167" s="74">
        <f t="shared" si="123"/>
        <v>4096</v>
      </c>
      <c r="F167" s="67" t="s">
        <v>230</v>
      </c>
      <c r="G167" s="67" t="s">
        <v>230</v>
      </c>
      <c r="H167" s="37">
        <f t="shared" si="77"/>
        <v>164</v>
      </c>
      <c r="I167" s="37"/>
    </row>
    <row r="168" spans="1:9">
      <c r="A168" s="37" t="s">
        <v>1261</v>
      </c>
      <c r="B168" s="37" t="s">
        <v>1383</v>
      </c>
      <c r="C168" s="74" t="str">
        <f t="shared" ref="C168:E168" si="124">C150</f>
        <v>0x00000000</v>
      </c>
      <c r="D168" s="74" t="str">
        <f t="shared" si="124"/>
        <v>0x80000000</v>
      </c>
      <c r="E168" s="74" t="str">
        <f t="shared" si="124"/>
        <v>0x7fffffff</v>
      </c>
      <c r="F168" s="67" t="s">
        <v>230</v>
      </c>
      <c r="G168" s="67" t="s">
        <v>1052</v>
      </c>
      <c r="H168" s="37">
        <f t="shared" si="77"/>
        <v>165</v>
      </c>
      <c r="I168" s="37"/>
    </row>
    <row r="169" spans="1:9">
      <c r="A169" s="37" t="s">
        <v>1262</v>
      </c>
      <c r="B169" s="37" t="s">
        <v>1384</v>
      </c>
      <c r="C169" s="74">
        <f t="shared" ref="C169:E169" si="125">C151</f>
        <v>0</v>
      </c>
      <c r="D169" s="74">
        <f t="shared" si="125"/>
        <v>0</v>
      </c>
      <c r="E169" s="74">
        <f t="shared" si="125"/>
        <v>65535</v>
      </c>
      <c r="F169" s="67" t="s">
        <v>230</v>
      </c>
      <c r="G169" s="67" t="s">
        <v>1052</v>
      </c>
      <c r="H169" s="37">
        <f t="shared" si="77"/>
        <v>166</v>
      </c>
      <c r="I169" s="37"/>
    </row>
    <row r="170" spans="1:9">
      <c r="A170" s="37" t="s">
        <v>1263</v>
      </c>
      <c r="B170" s="37" t="s">
        <v>1385</v>
      </c>
      <c r="C170" s="74">
        <f t="shared" ref="C170:E170" si="126">C152</f>
        <v>1</v>
      </c>
      <c r="D170" s="74">
        <f t="shared" si="126"/>
        <v>0</v>
      </c>
      <c r="E170" s="74">
        <f t="shared" si="126"/>
        <v>1</v>
      </c>
      <c r="F170" s="67" t="s">
        <v>230</v>
      </c>
      <c r="G170" s="67" t="s">
        <v>1052</v>
      </c>
      <c r="H170" s="37">
        <f t="shared" si="77"/>
        <v>167</v>
      </c>
      <c r="I170" s="37"/>
    </row>
    <row r="171" spans="1:9">
      <c r="A171" s="37" t="s">
        <v>1264</v>
      </c>
      <c r="B171" s="37" t="s">
        <v>1386</v>
      </c>
      <c r="C171" s="74">
        <f t="shared" ref="C171:E171" si="127">C153</f>
        <v>0</v>
      </c>
      <c r="D171" s="74">
        <f t="shared" si="127"/>
        <v>0</v>
      </c>
      <c r="E171" s="74">
        <f t="shared" si="127"/>
        <v>65535</v>
      </c>
      <c r="F171" s="67" t="s">
        <v>230</v>
      </c>
      <c r="G171" s="67" t="s">
        <v>1052</v>
      </c>
      <c r="H171" s="37">
        <f t="shared" si="77"/>
        <v>168</v>
      </c>
      <c r="I171" s="37"/>
    </row>
    <row r="172" spans="1:9">
      <c r="A172" s="37" t="s">
        <v>1265</v>
      </c>
      <c r="B172" s="37" t="s">
        <v>1387</v>
      </c>
      <c r="C172" s="74">
        <f t="shared" ref="C172:E172" si="128">C154</f>
        <v>0</v>
      </c>
      <c r="D172" s="74">
        <f t="shared" si="128"/>
        <v>0</v>
      </c>
      <c r="E172" s="74">
        <f t="shared" si="128"/>
        <v>1</v>
      </c>
      <c r="F172" s="67" t="s">
        <v>230</v>
      </c>
      <c r="G172" s="67" t="s">
        <v>1052</v>
      </c>
      <c r="H172" s="37">
        <f t="shared" si="77"/>
        <v>169</v>
      </c>
      <c r="I172" s="37"/>
    </row>
    <row r="173" spans="1:9">
      <c r="A173" s="37" t="s">
        <v>1266</v>
      </c>
      <c r="B173" s="37" t="s">
        <v>1388</v>
      </c>
      <c r="C173" s="74">
        <f t="shared" ref="C173:E173" si="129">C155</f>
        <v>1</v>
      </c>
      <c r="D173" s="74">
        <f t="shared" si="129"/>
        <v>0</v>
      </c>
      <c r="E173" s="74">
        <f t="shared" si="129"/>
        <v>2</v>
      </c>
      <c r="F173" s="67" t="s">
        <v>230</v>
      </c>
      <c r="G173" s="67" t="s">
        <v>1052</v>
      </c>
      <c r="H173" s="37">
        <f t="shared" si="77"/>
        <v>170</v>
      </c>
      <c r="I173" s="37"/>
    </row>
    <row r="174" spans="1:9">
      <c r="A174" s="37" t="s">
        <v>1267</v>
      </c>
      <c r="B174" s="37" t="s">
        <v>1389</v>
      </c>
      <c r="C174" s="74">
        <f t="shared" ref="C174:E174" si="130">C156</f>
        <v>0</v>
      </c>
      <c r="D174" s="74">
        <f t="shared" si="130"/>
        <v>0</v>
      </c>
      <c r="E174" s="74">
        <f t="shared" si="130"/>
        <v>3</v>
      </c>
      <c r="F174" s="67" t="s">
        <v>230</v>
      </c>
      <c r="G174" s="67" t="s">
        <v>1052</v>
      </c>
      <c r="H174" s="37">
        <f t="shared" ref="H174:H237" si="131">ROW()-3</f>
        <v>171</v>
      </c>
      <c r="I174" s="37"/>
    </row>
    <row r="175" spans="1:9">
      <c r="A175" s="37" t="s">
        <v>1268</v>
      </c>
      <c r="B175" s="37" t="s">
        <v>1390</v>
      </c>
      <c r="C175" s="74">
        <f t="shared" ref="C175:E175" si="132">C157</f>
        <v>0</v>
      </c>
      <c r="D175" s="74">
        <f t="shared" si="132"/>
        <v>0</v>
      </c>
      <c r="E175" s="74">
        <f t="shared" si="132"/>
        <v>3</v>
      </c>
      <c r="F175" s="67" t="s">
        <v>230</v>
      </c>
      <c r="G175" s="67" t="s">
        <v>1052</v>
      </c>
      <c r="H175" s="37">
        <f t="shared" si="131"/>
        <v>172</v>
      </c>
      <c r="I175" s="37"/>
    </row>
    <row r="176" spans="1:9">
      <c r="A176" s="37" t="s">
        <v>1269</v>
      </c>
      <c r="B176" s="37" t="s">
        <v>1391</v>
      </c>
      <c r="C176" s="74">
        <f t="shared" ref="C176:E176" si="133">C158</f>
        <v>0</v>
      </c>
      <c r="D176" s="74">
        <f t="shared" si="133"/>
        <v>0</v>
      </c>
      <c r="E176" s="74">
        <f t="shared" si="133"/>
        <v>3</v>
      </c>
      <c r="F176" s="67" t="s">
        <v>230</v>
      </c>
      <c r="G176" s="67" t="s">
        <v>1052</v>
      </c>
      <c r="H176" s="37">
        <f t="shared" si="131"/>
        <v>173</v>
      </c>
      <c r="I176" s="37"/>
    </row>
    <row r="177" spans="1:9">
      <c r="A177" s="37" t="s">
        <v>1270</v>
      </c>
      <c r="B177" s="37" t="s">
        <v>2662</v>
      </c>
      <c r="C177" s="74">
        <f t="shared" ref="C177:E177" si="134">C159</f>
        <v>0</v>
      </c>
      <c r="D177" s="74">
        <f t="shared" si="134"/>
        <v>0</v>
      </c>
      <c r="E177" s="74">
        <f t="shared" si="134"/>
        <v>1</v>
      </c>
      <c r="F177" s="67" t="s">
        <v>230</v>
      </c>
      <c r="G177" s="67" t="s">
        <v>1052</v>
      </c>
      <c r="H177" s="37">
        <f t="shared" si="131"/>
        <v>174</v>
      </c>
      <c r="I177" s="37"/>
    </row>
    <row r="178" spans="1:9">
      <c r="A178" s="37" t="s">
        <v>1271</v>
      </c>
      <c r="B178" s="37" t="s">
        <v>1392</v>
      </c>
      <c r="C178" s="74">
        <f t="shared" ref="C178:E178" si="135">C160</f>
        <v>0</v>
      </c>
      <c r="D178" s="74">
        <f t="shared" si="135"/>
        <v>0</v>
      </c>
      <c r="E178" s="74">
        <f t="shared" si="135"/>
        <v>1</v>
      </c>
      <c r="F178" s="67" t="s">
        <v>230</v>
      </c>
      <c r="G178" s="67" t="s">
        <v>1052</v>
      </c>
      <c r="H178" s="37">
        <f t="shared" si="131"/>
        <v>175</v>
      </c>
      <c r="I178" s="37"/>
    </row>
    <row r="179" spans="1:9">
      <c r="A179" s="37" t="s">
        <v>1272</v>
      </c>
      <c r="B179" s="37" t="s">
        <v>1393</v>
      </c>
      <c r="C179" s="74">
        <f t="shared" ref="C179:E179" si="136">C161</f>
        <v>0</v>
      </c>
      <c r="D179" s="74">
        <f t="shared" si="136"/>
        <v>0</v>
      </c>
      <c r="E179" s="74">
        <f t="shared" si="136"/>
        <v>4</v>
      </c>
      <c r="F179" s="67" t="s">
        <v>230</v>
      </c>
      <c r="G179" s="67" t="s">
        <v>1052</v>
      </c>
      <c r="H179" s="37">
        <f t="shared" si="131"/>
        <v>176</v>
      </c>
      <c r="I179" s="37"/>
    </row>
    <row r="180" spans="1:9">
      <c r="A180" s="37" t="s">
        <v>1273</v>
      </c>
      <c r="B180" s="37" t="s">
        <v>1394</v>
      </c>
      <c r="C180" s="74" t="str">
        <f t="shared" ref="C180:E180" si="137">C162</f>
        <v>(空文字)</v>
      </c>
      <c r="D180" s="74" t="str">
        <f t="shared" si="137"/>
        <v>(空文字)</v>
      </c>
      <c r="E180" s="74" t="str">
        <f t="shared" si="137"/>
        <v>(空文字)</v>
      </c>
      <c r="F180" s="67" t="s">
        <v>230</v>
      </c>
      <c r="G180" s="67" t="s">
        <v>1052</v>
      </c>
      <c r="H180" s="37">
        <f t="shared" si="131"/>
        <v>177</v>
      </c>
      <c r="I180" s="37"/>
    </row>
    <row r="181" spans="1:9">
      <c r="A181" s="37" t="s">
        <v>1274</v>
      </c>
      <c r="B181" s="37" t="s">
        <v>1395</v>
      </c>
      <c r="C181" s="74" t="str">
        <f t="shared" ref="C181:E181" si="138">C163</f>
        <v>(空文字)</v>
      </c>
      <c r="D181" s="74" t="str">
        <f t="shared" si="138"/>
        <v>(空文字)</v>
      </c>
      <c r="E181" s="74" t="str">
        <f t="shared" si="138"/>
        <v>(空文字)</v>
      </c>
      <c r="F181" s="67" t="s">
        <v>230</v>
      </c>
      <c r="G181" s="67" t="s">
        <v>1052</v>
      </c>
      <c r="H181" s="37">
        <f t="shared" si="131"/>
        <v>178</v>
      </c>
      <c r="I181" s="37"/>
    </row>
    <row r="182" spans="1:9">
      <c r="A182" s="37" t="s">
        <v>1275</v>
      </c>
      <c r="B182" s="37" t="s">
        <v>1396</v>
      </c>
      <c r="C182" s="74">
        <f t="shared" ref="C182:E182" si="139">C164</f>
        <v>0</v>
      </c>
      <c r="D182" s="74">
        <f t="shared" si="139"/>
        <v>0</v>
      </c>
      <c r="E182" s="74">
        <f t="shared" si="139"/>
        <v>3</v>
      </c>
      <c r="F182" s="67" t="s">
        <v>230</v>
      </c>
      <c r="G182" s="67" t="s">
        <v>1052</v>
      </c>
      <c r="H182" s="37">
        <f t="shared" si="131"/>
        <v>179</v>
      </c>
      <c r="I182" s="37"/>
    </row>
    <row r="183" spans="1:9">
      <c r="A183" s="37" t="s">
        <v>3924</v>
      </c>
      <c r="B183" s="37" t="s">
        <v>3983</v>
      </c>
      <c r="C183" s="74">
        <f t="shared" ref="C183:E183" si="140">C165</f>
        <v>10000</v>
      </c>
      <c r="D183" s="74">
        <f t="shared" si="140"/>
        <v>1000</v>
      </c>
      <c r="E183" s="74">
        <f t="shared" si="140"/>
        <v>99999000</v>
      </c>
      <c r="F183" s="67" t="s">
        <v>230</v>
      </c>
      <c r="G183" s="67" t="s">
        <v>1052</v>
      </c>
      <c r="H183" s="37">
        <f t="shared" si="131"/>
        <v>180</v>
      </c>
      <c r="I183" s="37"/>
    </row>
    <row r="184" spans="1:9">
      <c r="A184" s="37" t="s">
        <v>4078</v>
      </c>
      <c r="B184" s="37" t="s">
        <v>3984</v>
      </c>
      <c r="C184" s="74">
        <f t="shared" ref="C184:E184" si="141">C166</f>
        <v>0</v>
      </c>
      <c r="D184" s="74">
        <f t="shared" si="141"/>
        <v>0</v>
      </c>
      <c r="E184" s="74">
        <f t="shared" si="141"/>
        <v>1</v>
      </c>
      <c r="F184" s="67" t="s">
        <v>230</v>
      </c>
      <c r="G184" s="67" t="s">
        <v>1052</v>
      </c>
      <c r="H184" s="37">
        <f t="shared" si="131"/>
        <v>181</v>
      </c>
      <c r="I184" s="37"/>
    </row>
    <row r="185" spans="1:9">
      <c r="A185" s="37" t="s">
        <v>1276</v>
      </c>
      <c r="B185" s="37" t="s">
        <v>1397</v>
      </c>
      <c r="C185" s="91">
        <f t="shared" ref="C185" si="142">C167+1</f>
        <v>110</v>
      </c>
      <c r="D185" s="74">
        <f t="shared" ref="D185:E185" si="143">D167</f>
        <v>1</v>
      </c>
      <c r="E185" s="74">
        <f t="shared" si="143"/>
        <v>4096</v>
      </c>
      <c r="F185" s="67" t="s">
        <v>230</v>
      </c>
      <c r="G185" s="67" t="s">
        <v>230</v>
      </c>
      <c r="H185" s="37">
        <f t="shared" si="131"/>
        <v>182</v>
      </c>
      <c r="I185" s="37"/>
    </row>
    <row r="186" spans="1:9">
      <c r="A186" s="37" t="s">
        <v>1277</v>
      </c>
      <c r="B186" s="37" t="s">
        <v>1398</v>
      </c>
      <c r="C186" s="74" t="str">
        <f t="shared" ref="C186:E186" si="144">C168</f>
        <v>0x00000000</v>
      </c>
      <c r="D186" s="74" t="str">
        <f t="shared" si="144"/>
        <v>0x80000000</v>
      </c>
      <c r="E186" s="74" t="str">
        <f t="shared" si="144"/>
        <v>0x7fffffff</v>
      </c>
      <c r="F186" s="67" t="s">
        <v>230</v>
      </c>
      <c r="G186" s="67" t="s">
        <v>1052</v>
      </c>
      <c r="H186" s="37">
        <f t="shared" si="131"/>
        <v>183</v>
      </c>
      <c r="I186" s="37"/>
    </row>
    <row r="187" spans="1:9">
      <c r="A187" s="37" t="s">
        <v>1278</v>
      </c>
      <c r="B187" s="37" t="s">
        <v>1399</v>
      </c>
      <c r="C187" s="74">
        <f t="shared" ref="C187:E187" si="145">C169</f>
        <v>0</v>
      </c>
      <c r="D187" s="74">
        <f t="shared" si="145"/>
        <v>0</v>
      </c>
      <c r="E187" s="74">
        <f t="shared" si="145"/>
        <v>65535</v>
      </c>
      <c r="F187" s="67" t="s">
        <v>230</v>
      </c>
      <c r="G187" s="67" t="s">
        <v>1052</v>
      </c>
      <c r="H187" s="37">
        <f t="shared" si="131"/>
        <v>184</v>
      </c>
      <c r="I187" s="37"/>
    </row>
    <row r="188" spans="1:9">
      <c r="A188" s="37" t="s">
        <v>1279</v>
      </c>
      <c r="B188" s="37" t="s">
        <v>1400</v>
      </c>
      <c r="C188" s="74">
        <f t="shared" ref="C188:E188" si="146">C170</f>
        <v>1</v>
      </c>
      <c r="D188" s="74">
        <f t="shared" si="146"/>
        <v>0</v>
      </c>
      <c r="E188" s="74">
        <f t="shared" si="146"/>
        <v>1</v>
      </c>
      <c r="F188" s="67" t="s">
        <v>230</v>
      </c>
      <c r="G188" s="67" t="s">
        <v>1052</v>
      </c>
      <c r="H188" s="37">
        <f t="shared" si="131"/>
        <v>185</v>
      </c>
      <c r="I188" s="37"/>
    </row>
    <row r="189" spans="1:9">
      <c r="A189" s="37" t="s">
        <v>1280</v>
      </c>
      <c r="B189" s="37" t="s">
        <v>1401</v>
      </c>
      <c r="C189" s="74">
        <f t="shared" ref="C189:E189" si="147">C171</f>
        <v>0</v>
      </c>
      <c r="D189" s="74">
        <f t="shared" si="147"/>
        <v>0</v>
      </c>
      <c r="E189" s="74">
        <f t="shared" si="147"/>
        <v>65535</v>
      </c>
      <c r="F189" s="67" t="s">
        <v>230</v>
      </c>
      <c r="G189" s="67" t="s">
        <v>1052</v>
      </c>
      <c r="H189" s="37">
        <f t="shared" si="131"/>
        <v>186</v>
      </c>
      <c r="I189" s="37"/>
    </row>
    <row r="190" spans="1:9">
      <c r="A190" s="37" t="s">
        <v>1281</v>
      </c>
      <c r="B190" s="37" t="s">
        <v>1402</v>
      </c>
      <c r="C190" s="74">
        <f t="shared" ref="C190:E190" si="148">C172</f>
        <v>0</v>
      </c>
      <c r="D190" s="74">
        <f t="shared" si="148"/>
        <v>0</v>
      </c>
      <c r="E190" s="74">
        <f t="shared" si="148"/>
        <v>1</v>
      </c>
      <c r="F190" s="67" t="s">
        <v>230</v>
      </c>
      <c r="G190" s="67" t="s">
        <v>1052</v>
      </c>
      <c r="H190" s="37">
        <f t="shared" si="131"/>
        <v>187</v>
      </c>
      <c r="I190" s="37"/>
    </row>
    <row r="191" spans="1:9">
      <c r="A191" s="37" t="s">
        <v>1282</v>
      </c>
      <c r="B191" s="37" t="s">
        <v>1403</v>
      </c>
      <c r="C191" s="74">
        <f t="shared" ref="C191:E191" si="149">C173</f>
        <v>1</v>
      </c>
      <c r="D191" s="74">
        <f t="shared" si="149"/>
        <v>0</v>
      </c>
      <c r="E191" s="74">
        <f t="shared" si="149"/>
        <v>2</v>
      </c>
      <c r="F191" s="67" t="s">
        <v>230</v>
      </c>
      <c r="G191" s="67" t="s">
        <v>1052</v>
      </c>
      <c r="H191" s="37">
        <f t="shared" si="131"/>
        <v>188</v>
      </c>
      <c r="I191" s="37"/>
    </row>
    <row r="192" spans="1:9">
      <c r="A192" s="37" t="s">
        <v>1283</v>
      </c>
      <c r="B192" s="37" t="s">
        <v>1404</v>
      </c>
      <c r="C192" s="74">
        <f t="shared" ref="C192:E192" si="150">C174</f>
        <v>0</v>
      </c>
      <c r="D192" s="74">
        <f t="shared" si="150"/>
        <v>0</v>
      </c>
      <c r="E192" s="74">
        <f t="shared" si="150"/>
        <v>3</v>
      </c>
      <c r="F192" s="67" t="s">
        <v>230</v>
      </c>
      <c r="G192" s="67" t="s">
        <v>1052</v>
      </c>
      <c r="H192" s="37">
        <f t="shared" si="131"/>
        <v>189</v>
      </c>
      <c r="I192" s="37"/>
    </row>
    <row r="193" spans="1:9">
      <c r="A193" s="37" t="s">
        <v>1284</v>
      </c>
      <c r="B193" s="37" t="s">
        <v>1405</v>
      </c>
      <c r="C193" s="74">
        <f t="shared" ref="C193:E193" si="151">C175</f>
        <v>0</v>
      </c>
      <c r="D193" s="74">
        <f t="shared" si="151"/>
        <v>0</v>
      </c>
      <c r="E193" s="74">
        <f t="shared" si="151"/>
        <v>3</v>
      </c>
      <c r="F193" s="67" t="s">
        <v>230</v>
      </c>
      <c r="G193" s="67" t="s">
        <v>1052</v>
      </c>
      <c r="H193" s="37">
        <f t="shared" si="131"/>
        <v>190</v>
      </c>
      <c r="I193" s="37"/>
    </row>
    <row r="194" spans="1:9">
      <c r="A194" s="37" t="s">
        <v>1285</v>
      </c>
      <c r="B194" s="37" t="s">
        <v>1406</v>
      </c>
      <c r="C194" s="74">
        <f t="shared" ref="C194:E194" si="152">C176</f>
        <v>0</v>
      </c>
      <c r="D194" s="74">
        <f t="shared" si="152"/>
        <v>0</v>
      </c>
      <c r="E194" s="74">
        <f t="shared" si="152"/>
        <v>3</v>
      </c>
      <c r="F194" s="67" t="s">
        <v>230</v>
      </c>
      <c r="G194" s="67" t="s">
        <v>1052</v>
      </c>
      <c r="H194" s="37">
        <f t="shared" si="131"/>
        <v>191</v>
      </c>
      <c r="I194" s="37"/>
    </row>
    <row r="195" spans="1:9">
      <c r="A195" s="37" t="s">
        <v>1286</v>
      </c>
      <c r="B195" s="37" t="s">
        <v>2663</v>
      </c>
      <c r="C195" s="74">
        <f t="shared" ref="C195:E195" si="153">C177</f>
        <v>0</v>
      </c>
      <c r="D195" s="74">
        <f t="shared" si="153"/>
        <v>0</v>
      </c>
      <c r="E195" s="74">
        <f t="shared" si="153"/>
        <v>1</v>
      </c>
      <c r="F195" s="67" t="s">
        <v>230</v>
      </c>
      <c r="G195" s="67" t="s">
        <v>1052</v>
      </c>
      <c r="H195" s="37">
        <f t="shared" si="131"/>
        <v>192</v>
      </c>
      <c r="I195" s="37"/>
    </row>
    <row r="196" spans="1:9">
      <c r="A196" s="37" t="s">
        <v>1287</v>
      </c>
      <c r="B196" s="37" t="s">
        <v>1407</v>
      </c>
      <c r="C196" s="74">
        <f t="shared" ref="C196:E196" si="154">C178</f>
        <v>0</v>
      </c>
      <c r="D196" s="74">
        <f t="shared" si="154"/>
        <v>0</v>
      </c>
      <c r="E196" s="74">
        <f t="shared" si="154"/>
        <v>1</v>
      </c>
      <c r="F196" s="67" t="s">
        <v>230</v>
      </c>
      <c r="G196" s="67" t="s">
        <v>1052</v>
      </c>
      <c r="H196" s="37">
        <f t="shared" si="131"/>
        <v>193</v>
      </c>
      <c r="I196" s="37"/>
    </row>
    <row r="197" spans="1:9">
      <c r="A197" s="37" t="s">
        <v>1288</v>
      </c>
      <c r="B197" s="37" t="s">
        <v>1408</v>
      </c>
      <c r="C197" s="74">
        <f t="shared" ref="C197:E197" si="155">C179</f>
        <v>0</v>
      </c>
      <c r="D197" s="74">
        <f t="shared" si="155"/>
        <v>0</v>
      </c>
      <c r="E197" s="74">
        <f t="shared" si="155"/>
        <v>4</v>
      </c>
      <c r="F197" s="67" t="s">
        <v>230</v>
      </c>
      <c r="G197" s="67" t="s">
        <v>1052</v>
      </c>
      <c r="H197" s="37">
        <f t="shared" si="131"/>
        <v>194</v>
      </c>
      <c r="I197" s="37"/>
    </row>
    <row r="198" spans="1:9">
      <c r="A198" s="37" t="s">
        <v>1289</v>
      </c>
      <c r="B198" s="37" t="s">
        <v>1409</v>
      </c>
      <c r="C198" s="74" t="str">
        <f t="shared" ref="C198:E198" si="156">C180</f>
        <v>(空文字)</v>
      </c>
      <c r="D198" s="74" t="str">
        <f t="shared" si="156"/>
        <v>(空文字)</v>
      </c>
      <c r="E198" s="74" t="str">
        <f t="shared" si="156"/>
        <v>(空文字)</v>
      </c>
      <c r="F198" s="67" t="s">
        <v>230</v>
      </c>
      <c r="G198" s="67" t="s">
        <v>1052</v>
      </c>
      <c r="H198" s="37">
        <f t="shared" si="131"/>
        <v>195</v>
      </c>
      <c r="I198" s="37"/>
    </row>
    <row r="199" spans="1:9">
      <c r="A199" s="37" t="s">
        <v>1290</v>
      </c>
      <c r="B199" s="37" t="s">
        <v>1410</v>
      </c>
      <c r="C199" s="74" t="str">
        <f t="shared" ref="C199:E199" si="157">C181</f>
        <v>(空文字)</v>
      </c>
      <c r="D199" s="74" t="str">
        <f t="shared" si="157"/>
        <v>(空文字)</v>
      </c>
      <c r="E199" s="74" t="str">
        <f t="shared" si="157"/>
        <v>(空文字)</v>
      </c>
      <c r="F199" s="67" t="s">
        <v>230</v>
      </c>
      <c r="G199" s="67" t="s">
        <v>1052</v>
      </c>
      <c r="H199" s="37">
        <f t="shared" si="131"/>
        <v>196</v>
      </c>
      <c r="I199" s="37"/>
    </row>
    <row r="200" spans="1:9">
      <c r="A200" s="37" t="s">
        <v>1291</v>
      </c>
      <c r="B200" s="37" t="s">
        <v>1411</v>
      </c>
      <c r="C200" s="74">
        <f t="shared" ref="C200:E200" si="158">C182</f>
        <v>0</v>
      </c>
      <c r="D200" s="74">
        <f t="shared" si="158"/>
        <v>0</v>
      </c>
      <c r="E200" s="74">
        <f t="shared" si="158"/>
        <v>3</v>
      </c>
      <c r="F200" s="67" t="s">
        <v>230</v>
      </c>
      <c r="G200" s="67" t="s">
        <v>1052</v>
      </c>
      <c r="H200" s="37">
        <f t="shared" si="131"/>
        <v>197</v>
      </c>
      <c r="I200" s="37"/>
    </row>
    <row r="201" spans="1:9">
      <c r="A201" s="37" t="s">
        <v>3925</v>
      </c>
      <c r="B201" s="37" t="s">
        <v>3985</v>
      </c>
      <c r="C201" s="74">
        <f t="shared" ref="C201:E201" si="159">C183</f>
        <v>10000</v>
      </c>
      <c r="D201" s="74">
        <f t="shared" si="159"/>
        <v>1000</v>
      </c>
      <c r="E201" s="74">
        <f t="shared" si="159"/>
        <v>99999000</v>
      </c>
      <c r="F201" s="67" t="s">
        <v>230</v>
      </c>
      <c r="G201" s="67" t="s">
        <v>1052</v>
      </c>
      <c r="H201" s="37">
        <f t="shared" si="131"/>
        <v>198</v>
      </c>
      <c r="I201" s="37"/>
    </row>
    <row r="202" spans="1:9">
      <c r="A202" s="37" t="s">
        <v>4079</v>
      </c>
      <c r="B202" s="37" t="s">
        <v>3986</v>
      </c>
      <c r="C202" s="74">
        <f t="shared" ref="C202:E202" si="160">C184</f>
        <v>0</v>
      </c>
      <c r="D202" s="74">
        <f t="shared" si="160"/>
        <v>0</v>
      </c>
      <c r="E202" s="74">
        <f t="shared" si="160"/>
        <v>1</v>
      </c>
      <c r="F202" s="67" t="s">
        <v>230</v>
      </c>
      <c r="G202" s="67" t="s">
        <v>1052</v>
      </c>
      <c r="H202" s="37">
        <f t="shared" si="131"/>
        <v>199</v>
      </c>
      <c r="I202" s="37"/>
    </row>
    <row r="203" spans="1:9">
      <c r="A203" s="37" t="s">
        <v>1412</v>
      </c>
      <c r="B203" s="37" t="s">
        <v>1413</v>
      </c>
      <c r="C203" s="91">
        <f t="shared" ref="C203" si="161">C185+1</f>
        <v>111</v>
      </c>
      <c r="D203" s="74">
        <f t="shared" ref="D203:E203" si="162">D185</f>
        <v>1</v>
      </c>
      <c r="E203" s="74">
        <f t="shared" si="162"/>
        <v>4096</v>
      </c>
      <c r="F203" s="67" t="s">
        <v>230</v>
      </c>
      <c r="G203" s="67" t="s">
        <v>230</v>
      </c>
      <c r="H203" s="37">
        <f t="shared" si="131"/>
        <v>200</v>
      </c>
      <c r="I203" s="37"/>
    </row>
    <row r="204" spans="1:9">
      <c r="A204" s="37" t="s">
        <v>1414</v>
      </c>
      <c r="B204" s="37" t="s">
        <v>1415</v>
      </c>
      <c r="C204" s="74" t="str">
        <f t="shared" ref="C204:E204" si="163">C186</f>
        <v>0x00000000</v>
      </c>
      <c r="D204" s="74" t="str">
        <f t="shared" si="163"/>
        <v>0x80000000</v>
      </c>
      <c r="E204" s="74" t="str">
        <f t="shared" si="163"/>
        <v>0x7fffffff</v>
      </c>
      <c r="F204" s="67" t="s">
        <v>230</v>
      </c>
      <c r="G204" s="67" t="s">
        <v>1052</v>
      </c>
      <c r="H204" s="37">
        <f t="shared" si="131"/>
        <v>201</v>
      </c>
      <c r="I204" s="37"/>
    </row>
    <row r="205" spans="1:9">
      <c r="A205" s="37" t="s">
        <v>1416</v>
      </c>
      <c r="B205" s="37" t="s">
        <v>1417</v>
      </c>
      <c r="C205" s="74">
        <f t="shared" ref="C205:E205" si="164">C187</f>
        <v>0</v>
      </c>
      <c r="D205" s="74">
        <f t="shared" si="164"/>
        <v>0</v>
      </c>
      <c r="E205" s="74">
        <f t="shared" si="164"/>
        <v>65535</v>
      </c>
      <c r="F205" s="67" t="s">
        <v>230</v>
      </c>
      <c r="G205" s="67" t="s">
        <v>1052</v>
      </c>
      <c r="H205" s="37">
        <f t="shared" si="131"/>
        <v>202</v>
      </c>
      <c r="I205" s="37"/>
    </row>
    <row r="206" spans="1:9">
      <c r="A206" s="37" t="s">
        <v>1418</v>
      </c>
      <c r="B206" s="37" t="s">
        <v>1419</v>
      </c>
      <c r="C206" s="74">
        <f t="shared" ref="C206:E206" si="165">C188</f>
        <v>1</v>
      </c>
      <c r="D206" s="74">
        <f t="shared" si="165"/>
        <v>0</v>
      </c>
      <c r="E206" s="74">
        <f t="shared" si="165"/>
        <v>1</v>
      </c>
      <c r="F206" s="67" t="s">
        <v>230</v>
      </c>
      <c r="G206" s="67" t="s">
        <v>1052</v>
      </c>
      <c r="H206" s="37">
        <f t="shared" si="131"/>
        <v>203</v>
      </c>
      <c r="I206" s="37"/>
    </row>
    <row r="207" spans="1:9">
      <c r="A207" s="37" t="s">
        <v>1420</v>
      </c>
      <c r="B207" s="37" t="s">
        <v>1421</v>
      </c>
      <c r="C207" s="74">
        <f t="shared" ref="C207:E207" si="166">C189</f>
        <v>0</v>
      </c>
      <c r="D207" s="74">
        <f t="shared" si="166"/>
        <v>0</v>
      </c>
      <c r="E207" s="74">
        <f t="shared" si="166"/>
        <v>65535</v>
      </c>
      <c r="F207" s="67" t="s">
        <v>230</v>
      </c>
      <c r="G207" s="67" t="s">
        <v>1052</v>
      </c>
      <c r="H207" s="37">
        <f t="shared" si="131"/>
        <v>204</v>
      </c>
      <c r="I207" s="37"/>
    </row>
    <row r="208" spans="1:9">
      <c r="A208" s="37" t="s">
        <v>1422</v>
      </c>
      <c r="B208" s="37" t="s">
        <v>1423</v>
      </c>
      <c r="C208" s="74">
        <f t="shared" ref="C208:E208" si="167">C190</f>
        <v>0</v>
      </c>
      <c r="D208" s="74">
        <f t="shared" si="167"/>
        <v>0</v>
      </c>
      <c r="E208" s="74">
        <f t="shared" si="167"/>
        <v>1</v>
      </c>
      <c r="F208" s="67" t="s">
        <v>230</v>
      </c>
      <c r="G208" s="67" t="s">
        <v>1052</v>
      </c>
      <c r="H208" s="37">
        <f t="shared" si="131"/>
        <v>205</v>
      </c>
      <c r="I208" s="37"/>
    </row>
    <row r="209" spans="1:9">
      <c r="A209" s="37" t="s">
        <v>1424</v>
      </c>
      <c r="B209" s="37" t="s">
        <v>1425</v>
      </c>
      <c r="C209" s="74">
        <f t="shared" ref="C209:E209" si="168">C191</f>
        <v>1</v>
      </c>
      <c r="D209" s="74">
        <f t="shared" si="168"/>
        <v>0</v>
      </c>
      <c r="E209" s="74">
        <f t="shared" si="168"/>
        <v>2</v>
      </c>
      <c r="F209" s="67" t="s">
        <v>230</v>
      </c>
      <c r="G209" s="67" t="s">
        <v>1052</v>
      </c>
      <c r="H209" s="37">
        <f t="shared" si="131"/>
        <v>206</v>
      </c>
      <c r="I209" s="37"/>
    </row>
    <row r="210" spans="1:9">
      <c r="A210" s="37" t="s">
        <v>1426</v>
      </c>
      <c r="B210" s="37" t="s">
        <v>1427</v>
      </c>
      <c r="C210" s="74">
        <f t="shared" ref="C210:E210" si="169">C192</f>
        <v>0</v>
      </c>
      <c r="D210" s="74">
        <f t="shared" si="169"/>
        <v>0</v>
      </c>
      <c r="E210" s="74">
        <f t="shared" si="169"/>
        <v>3</v>
      </c>
      <c r="F210" s="67" t="s">
        <v>230</v>
      </c>
      <c r="G210" s="67" t="s">
        <v>1052</v>
      </c>
      <c r="H210" s="37">
        <f t="shared" si="131"/>
        <v>207</v>
      </c>
      <c r="I210" s="37"/>
    </row>
    <row r="211" spans="1:9">
      <c r="A211" s="37" t="s">
        <v>1428</v>
      </c>
      <c r="B211" s="37" t="s">
        <v>1429</v>
      </c>
      <c r="C211" s="74">
        <f t="shared" ref="C211:E211" si="170">C193</f>
        <v>0</v>
      </c>
      <c r="D211" s="74">
        <f t="shared" si="170"/>
        <v>0</v>
      </c>
      <c r="E211" s="74">
        <f t="shared" si="170"/>
        <v>3</v>
      </c>
      <c r="F211" s="67" t="s">
        <v>230</v>
      </c>
      <c r="G211" s="67" t="s">
        <v>1052</v>
      </c>
      <c r="H211" s="37">
        <f t="shared" si="131"/>
        <v>208</v>
      </c>
      <c r="I211" s="37"/>
    </row>
    <row r="212" spans="1:9">
      <c r="A212" s="37" t="s">
        <v>1430</v>
      </c>
      <c r="B212" s="37" t="s">
        <v>1431</v>
      </c>
      <c r="C212" s="74">
        <f t="shared" ref="C212:E212" si="171">C194</f>
        <v>0</v>
      </c>
      <c r="D212" s="74">
        <f t="shared" si="171"/>
        <v>0</v>
      </c>
      <c r="E212" s="74">
        <f t="shared" si="171"/>
        <v>3</v>
      </c>
      <c r="F212" s="67" t="s">
        <v>230</v>
      </c>
      <c r="G212" s="67" t="s">
        <v>1052</v>
      </c>
      <c r="H212" s="37">
        <f t="shared" si="131"/>
        <v>209</v>
      </c>
      <c r="I212" s="37"/>
    </row>
    <row r="213" spans="1:9">
      <c r="A213" s="37" t="s">
        <v>1432</v>
      </c>
      <c r="B213" s="37" t="s">
        <v>2664</v>
      </c>
      <c r="C213" s="74">
        <f t="shared" ref="C213:E213" si="172">C195</f>
        <v>0</v>
      </c>
      <c r="D213" s="74">
        <f t="shared" si="172"/>
        <v>0</v>
      </c>
      <c r="E213" s="74">
        <f t="shared" si="172"/>
        <v>1</v>
      </c>
      <c r="F213" s="67" t="s">
        <v>230</v>
      </c>
      <c r="G213" s="67" t="s">
        <v>1052</v>
      </c>
      <c r="H213" s="37">
        <f t="shared" si="131"/>
        <v>210</v>
      </c>
      <c r="I213" s="37"/>
    </row>
    <row r="214" spans="1:9">
      <c r="A214" s="37" t="s">
        <v>1433</v>
      </c>
      <c r="B214" s="37" t="s">
        <v>1434</v>
      </c>
      <c r="C214" s="74">
        <f t="shared" ref="C214:E214" si="173">C196</f>
        <v>0</v>
      </c>
      <c r="D214" s="74">
        <f t="shared" si="173"/>
        <v>0</v>
      </c>
      <c r="E214" s="74">
        <f t="shared" si="173"/>
        <v>1</v>
      </c>
      <c r="F214" s="67" t="s">
        <v>230</v>
      </c>
      <c r="G214" s="67" t="s">
        <v>1052</v>
      </c>
      <c r="H214" s="37">
        <f t="shared" si="131"/>
        <v>211</v>
      </c>
      <c r="I214" s="37"/>
    </row>
    <row r="215" spans="1:9">
      <c r="A215" s="37" t="s">
        <v>1435</v>
      </c>
      <c r="B215" s="37" t="s">
        <v>1436</v>
      </c>
      <c r="C215" s="74">
        <f t="shared" ref="C215:E215" si="174">C197</f>
        <v>0</v>
      </c>
      <c r="D215" s="74">
        <f t="shared" si="174"/>
        <v>0</v>
      </c>
      <c r="E215" s="74">
        <f t="shared" si="174"/>
        <v>4</v>
      </c>
      <c r="F215" s="67" t="s">
        <v>230</v>
      </c>
      <c r="G215" s="67" t="s">
        <v>1052</v>
      </c>
      <c r="H215" s="37">
        <f t="shared" si="131"/>
        <v>212</v>
      </c>
      <c r="I215" s="37"/>
    </row>
    <row r="216" spans="1:9">
      <c r="A216" s="37" t="s">
        <v>1437</v>
      </c>
      <c r="B216" s="37" t="s">
        <v>1438</v>
      </c>
      <c r="C216" s="74" t="str">
        <f t="shared" ref="C216:E216" si="175">C198</f>
        <v>(空文字)</v>
      </c>
      <c r="D216" s="74" t="str">
        <f t="shared" si="175"/>
        <v>(空文字)</v>
      </c>
      <c r="E216" s="74" t="str">
        <f t="shared" si="175"/>
        <v>(空文字)</v>
      </c>
      <c r="F216" s="67" t="s">
        <v>230</v>
      </c>
      <c r="G216" s="67" t="s">
        <v>1052</v>
      </c>
      <c r="H216" s="37">
        <f t="shared" si="131"/>
        <v>213</v>
      </c>
      <c r="I216" s="37"/>
    </row>
    <row r="217" spans="1:9">
      <c r="A217" s="37" t="s">
        <v>1439</v>
      </c>
      <c r="B217" s="37" t="s">
        <v>1440</v>
      </c>
      <c r="C217" s="74" t="str">
        <f t="shared" ref="C217:E217" si="176">C199</f>
        <v>(空文字)</v>
      </c>
      <c r="D217" s="74" t="str">
        <f t="shared" si="176"/>
        <v>(空文字)</v>
      </c>
      <c r="E217" s="74" t="str">
        <f t="shared" si="176"/>
        <v>(空文字)</v>
      </c>
      <c r="F217" s="67" t="s">
        <v>230</v>
      </c>
      <c r="G217" s="67" t="s">
        <v>1052</v>
      </c>
      <c r="H217" s="37">
        <f t="shared" si="131"/>
        <v>214</v>
      </c>
      <c r="I217" s="37"/>
    </row>
    <row r="218" spans="1:9">
      <c r="A218" s="37" t="s">
        <v>1441</v>
      </c>
      <c r="B218" s="37" t="s">
        <v>1442</v>
      </c>
      <c r="C218" s="74">
        <f t="shared" ref="C218:E218" si="177">C200</f>
        <v>0</v>
      </c>
      <c r="D218" s="74">
        <f t="shared" si="177"/>
        <v>0</v>
      </c>
      <c r="E218" s="74">
        <f t="shared" si="177"/>
        <v>3</v>
      </c>
      <c r="F218" s="67" t="s">
        <v>230</v>
      </c>
      <c r="G218" s="67" t="s">
        <v>1052</v>
      </c>
      <c r="H218" s="37">
        <f t="shared" si="131"/>
        <v>215</v>
      </c>
      <c r="I218" s="37"/>
    </row>
    <row r="219" spans="1:9">
      <c r="A219" s="37" t="s">
        <v>3926</v>
      </c>
      <c r="B219" s="37" t="s">
        <v>3987</v>
      </c>
      <c r="C219" s="74">
        <f t="shared" ref="C219:E219" si="178">C201</f>
        <v>10000</v>
      </c>
      <c r="D219" s="74">
        <f t="shared" si="178"/>
        <v>1000</v>
      </c>
      <c r="E219" s="74">
        <f t="shared" si="178"/>
        <v>99999000</v>
      </c>
      <c r="F219" s="67" t="s">
        <v>230</v>
      </c>
      <c r="G219" s="67" t="s">
        <v>1052</v>
      </c>
      <c r="H219" s="37">
        <f t="shared" si="131"/>
        <v>216</v>
      </c>
      <c r="I219" s="37"/>
    </row>
    <row r="220" spans="1:9">
      <c r="A220" s="37" t="s">
        <v>4080</v>
      </c>
      <c r="B220" s="37" t="s">
        <v>3988</v>
      </c>
      <c r="C220" s="74">
        <f t="shared" ref="C220:E220" si="179">C202</f>
        <v>0</v>
      </c>
      <c r="D220" s="74">
        <f t="shared" si="179"/>
        <v>0</v>
      </c>
      <c r="E220" s="74">
        <f t="shared" si="179"/>
        <v>1</v>
      </c>
      <c r="F220" s="67" t="s">
        <v>230</v>
      </c>
      <c r="G220" s="67" t="s">
        <v>1052</v>
      </c>
      <c r="H220" s="37">
        <f t="shared" si="131"/>
        <v>217</v>
      </c>
      <c r="I220" s="37"/>
    </row>
    <row r="221" spans="1:9">
      <c r="A221" s="37" t="s">
        <v>1443</v>
      </c>
      <c r="B221" s="37" t="s">
        <v>1444</v>
      </c>
      <c r="C221" s="91">
        <f t="shared" ref="C221" si="180">C203+1</f>
        <v>112</v>
      </c>
      <c r="D221" s="74">
        <f t="shared" ref="D221:E221" si="181">D203</f>
        <v>1</v>
      </c>
      <c r="E221" s="74">
        <f t="shared" si="181"/>
        <v>4096</v>
      </c>
      <c r="F221" s="67" t="s">
        <v>230</v>
      </c>
      <c r="G221" s="67" t="s">
        <v>230</v>
      </c>
      <c r="H221" s="37">
        <f t="shared" si="131"/>
        <v>218</v>
      </c>
      <c r="I221" s="37"/>
    </row>
    <row r="222" spans="1:9">
      <c r="A222" s="37" t="s">
        <v>1445</v>
      </c>
      <c r="B222" s="37" t="s">
        <v>1446</v>
      </c>
      <c r="C222" s="74" t="str">
        <f t="shared" ref="C222:E222" si="182">C204</f>
        <v>0x00000000</v>
      </c>
      <c r="D222" s="74" t="str">
        <f t="shared" si="182"/>
        <v>0x80000000</v>
      </c>
      <c r="E222" s="74" t="str">
        <f t="shared" si="182"/>
        <v>0x7fffffff</v>
      </c>
      <c r="F222" s="67" t="s">
        <v>230</v>
      </c>
      <c r="G222" s="67" t="s">
        <v>1052</v>
      </c>
      <c r="H222" s="37">
        <f t="shared" si="131"/>
        <v>219</v>
      </c>
      <c r="I222" s="37"/>
    </row>
    <row r="223" spans="1:9">
      <c r="A223" s="37" t="s">
        <v>1447</v>
      </c>
      <c r="B223" s="37" t="s">
        <v>1448</v>
      </c>
      <c r="C223" s="74">
        <f t="shared" ref="C223:E223" si="183">C205</f>
        <v>0</v>
      </c>
      <c r="D223" s="74">
        <f t="shared" si="183"/>
        <v>0</v>
      </c>
      <c r="E223" s="74">
        <f t="shared" si="183"/>
        <v>65535</v>
      </c>
      <c r="F223" s="67" t="s">
        <v>230</v>
      </c>
      <c r="G223" s="67" t="s">
        <v>1052</v>
      </c>
      <c r="H223" s="37">
        <f t="shared" si="131"/>
        <v>220</v>
      </c>
      <c r="I223" s="37"/>
    </row>
    <row r="224" spans="1:9">
      <c r="A224" s="37" t="s">
        <v>1449</v>
      </c>
      <c r="B224" s="37" t="s">
        <v>1450</v>
      </c>
      <c r="C224" s="74">
        <f t="shared" ref="C224:E224" si="184">C206</f>
        <v>1</v>
      </c>
      <c r="D224" s="74">
        <f t="shared" si="184"/>
        <v>0</v>
      </c>
      <c r="E224" s="74">
        <f t="shared" si="184"/>
        <v>1</v>
      </c>
      <c r="F224" s="67" t="s">
        <v>230</v>
      </c>
      <c r="G224" s="67" t="s">
        <v>1052</v>
      </c>
      <c r="H224" s="37">
        <f t="shared" si="131"/>
        <v>221</v>
      </c>
      <c r="I224" s="37"/>
    </row>
    <row r="225" spans="1:9">
      <c r="A225" s="37" t="s">
        <v>1451</v>
      </c>
      <c r="B225" s="37" t="s">
        <v>1452</v>
      </c>
      <c r="C225" s="74">
        <f t="shared" ref="C225:E225" si="185">C207</f>
        <v>0</v>
      </c>
      <c r="D225" s="74">
        <f t="shared" si="185"/>
        <v>0</v>
      </c>
      <c r="E225" s="74">
        <f t="shared" si="185"/>
        <v>65535</v>
      </c>
      <c r="F225" s="67" t="s">
        <v>230</v>
      </c>
      <c r="G225" s="67" t="s">
        <v>1052</v>
      </c>
      <c r="H225" s="37">
        <f t="shared" si="131"/>
        <v>222</v>
      </c>
      <c r="I225" s="37"/>
    </row>
    <row r="226" spans="1:9">
      <c r="A226" s="37" t="s">
        <v>1453</v>
      </c>
      <c r="B226" s="37" t="s">
        <v>1454</v>
      </c>
      <c r="C226" s="74">
        <f t="shared" ref="C226:E226" si="186">C208</f>
        <v>0</v>
      </c>
      <c r="D226" s="74">
        <f t="shared" si="186"/>
        <v>0</v>
      </c>
      <c r="E226" s="74">
        <f t="shared" si="186"/>
        <v>1</v>
      </c>
      <c r="F226" s="67" t="s">
        <v>230</v>
      </c>
      <c r="G226" s="67" t="s">
        <v>1052</v>
      </c>
      <c r="H226" s="37">
        <f t="shared" si="131"/>
        <v>223</v>
      </c>
      <c r="I226" s="37"/>
    </row>
    <row r="227" spans="1:9">
      <c r="A227" s="37" t="s">
        <v>1455</v>
      </c>
      <c r="B227" s="37" t="s">
        <v>1456</v>
      </c>
      <c r="C227" s="74">
        <f t="shared" ref="C227:E227" si="187">C209</f>
        <v>1</v>
      </c>
      <c r="D227" s="74">
        <f t="shared" si="187"/>
        <v>0</v>
      </c>
      <c r="E227" s="74">
        <f t="shared" si="187"/>
        <v>2</v>
      </c>
      <c r="F227" s="67" t="s">
        <v>230</v>
      </c>
      <c r="G227" s="67" t="s">
        <v>1052</v>
      </c>
      <c r="H227" s="37">
        <f t="shared" si="131"/>
        <v>224</v>
      </c>
      <c r="I227" s="37"/>
    </row>
    <row r="228" spans="1:9">
      <c r="A228" s="37" t="s">
        <v>1457</v>
      </c>
      <c r="B228" s="37" t="s">
        <v>1458</v>
      </c>
      <c r="C228" s="74">
        <f t="shared" ref="C228:E228" si="188">C210</f>
        <v>0</v>
      </c>
      <c r="D228" s="74">
        <f t="shared" si="188"/>
        <v>0</v>
      </c>
      <c r="E228" s="74">
        <f t="shared" si="188"/>
        <v>3</v>
      </c>
      <c r="F228" s="67" t="s">
        <v>230</v>
      </c>
      <c r="G228" s="67" t="s">
        <v>1052</v>
      </c>
      <c r="H228" s="37">
        <f t="shared" si="131"/>
        <v>225</v>
      </c>
      <c r="I228" s="37"/>
    </row>
    <row r="229" spans="1:9">
      <c r="A229" s="37" t="s">
        <v>1459</v>
      </c>
      <c r="B229" s="37" t="s">
        <v>1460</v>
      </c>
      <c r="C229" s="74">
        <f t="shared" ref="C229:E229" si="189">C211</f>
        <v>0</v>
      </c>
      <c r="D229" s="74">
        <f t="shared" si="189"/>
        <v>0</v>
      </c>
      <c r="E229" s="74">
        <f t="shared" si="189"/>
        <v>3</v>
      </c>
      <c r="F229" s="67" t="s">
        <v>230</v>
      </c>
      <c r="G229" s="67" t="s">
        <v>1052</v>
      </c>
      <c r="H229" s="37">
        <f t="shared" si="131"/>
        <v>226</v>
      </c>
      <c r="I229" s="37"/>
    </row>
    <row r="230" spans="1:9">
      <c r="A230" s="37" t="s">
        <v>1461</v>
      </c>
      <c r="B230" s="37" t="s">
        <v>1462</v>
      </c>
      <c r="C230" s="74">
        <f t="shared" ref="C230:E230" si="190">C212</f>
        <v>0</v>
      </c>
      <c r="D230" s="74">
        <f t="shared" si="190"/>
        <v>0</v>
      </c>
      <c r="E230" s="74">
        <f t="shared" si="190"/>
        <v>3</v>
      </c>
      <c r="F230" s="67" t="s">
        <v>230</v>
      </c>
      <c r="G230" s="67" t="s">
        <v>1052</v>
      </c>
      <c r="H230" s="37">
        <f t="shared" si="131"/>
        <v>227</v>
      </c>
      <c r="I230" s="37"/>
    </row>
    <row r="231" spans="1:9">
      <c r="A231" s="37" t="s">
        <v>1463</v>
      </c>
      <c r="B231" s="37" t="s">
        <v>2665</v>
      </c>
      <c r="C231" s="74">
        <f t="shared" ref="C231:E231" si="191">C213</f>
        <v>0</v>
      </c>
      <c r="D231" s="74">
        <f t="shared" si="191"/>
        <v>0</v>
      </c>
      <c r="E231" s="74">
        <f t="shared" si="191"/>
        <v>1</v>
      </c>
      <c r="F231" s="67" t="s">
        <v>230</v>
      </c>
      <c r="G231" s="67" t="s">
        <v>1052</v>
      </c>
      <c r="H231" s="37">
        <f t="shared" si="131"/>
        <v>228</v>
      </c>
      <c r="I231" s="37"/>
    </row>
    <row r="232" spans="1:9">
      <c r="A232" s="37" t="s">
        <v>1464</v>
      </c>
      <c r="B232" s="37" t="s">
        <v>1465</v>
      </c>
      <c r="C232" s="74">
        <f t="shared" ref="C232:E232" si="192">C214</f>
        <v>0</v>
      </c>
      <c r="D232" s="74">
        <f t="shared" si="192"/>
        <v>0</v>
      </c>
      <c r="E232" s="74">
        <f t="shared" si="192"/>
        <v>1</v>
      </c>
      <c r="F232" s="67" t="s">
        <v>230</v>
      </c>
      <c r="G232" s="67" t="s">
        <v>1052</v>
      </c>
      <c r="H232" s="37">
        <f t="shared" si="131"/>
        <v>229</v>
      </c>
      <c r="I232" s="37"/>
    </row>
    <row r="233" spans="1:9">
      <c r="A233" s="37" t="s">
        <v>1466</v>
      </c>
      <c r="B233" s="37" t="s">
        <v>1467</v>
      </c>
      <c r="C233" s="74">
        <f t="shared" ref="C233:E233" si="193">C215</f>
        <v>0</v>
      </c>
      <c r="D233" s="74">
        <f t="shared" si="193"/>
        <v>0</v>
      </c>
      <c r="E233" s="74">
        <f t="shared" si="193"/>
        <v>4</v>
      </c>
      <c r="F233" s="67" t="s">
        <v>230</v>
      </c>
      <c r="G233" s="67" t="s">
        <v>1052</v>
      </c>
      <c r="H233" s="37">
        <f t="shared" si="131"/>
        <v>230</v>
      </c>
      <c r="I233" s="37"/>
    </row>
    <row r="234" spans="1:9">
      <c r="A234" s="37" t="s">
        <v>1468</v>
      </c>
      <c r="B234" s="37" t="s">
        <v>1469</v>
      </c>
      <c r="C234" s="74" t="str">
        <f t="shared" ref="C234:E234" si="194">C216</f>
        <v>(空文字)</v>
      </c>
      <c r="D234" s="74" t="str">
        <f t="shared" si="194"/>
        <v>(空文字)</v>
      </c>
      <c r="E234" s="74" t="str">
        <f t="shared" si="194"/>
        <v>(空文字)</v>
      </c>
      <c r="F234" s="67" t="s">
        <v>230</v>
      </c>
      <c r="G234" s="67" t="s">
        <v>1052</v>
      </c>
      <c r="H234" s="37">
        <f t="shared" si="131"/>
        <v>231</v>
      </c>
      <c r="I234" s="37"/>
    </row>
    <row r="235" spans="1:9">
      <c r="A235" s="37" t="s">
        <v>1470</v>
      </c>
      <c r="B235" s="37" t="s">
        <v>1471</v>
      </c>
      <c r="C235" s="74" t="str">
        <f t="shared" ref="C235:E235" si="195">C217</f>
        <v>(空文字)</v>
      </c>
      <c r="D235" s="74" t="str">
        <f t="shared" si="195"/>
        <v>(空文字)</v>
      </c>
      <c r="E235" s="74" t="str">
        <f t="shared" si="195"/>
        <v>(空文字)</v>
      </c>
      <c r="F235" s="67" t="s">
        <v>230</v>
      </c>
      <c r="G235" s="67" t="s">
        <v>1052</v>
      </c>
      <c r="H235" s="37">
        <f t="shared" si="131"/>
        <v>232</v>
      </c>
      <c r="I235" s="37"/>
    </row>
    <row r="236" spans="1:9">
      <c r="A236" s="37" t="s">
        <v>1472</v>
      </c>
      <c r="B236" s="37" t="s">
        <v>1473</v>
      </c>
      <c r="C236" s="74">
        <f t="shared" ref="C236:E236" si="196">C218</f>
        <v>0</v>
      </c>
      <c r="D236" s="74">
        <f t="shared" si="196"/>
        <v>0</v>
      </c>
      <c r="E236" s="74">
        <f t="shared" si="196"/>
        <v>3</v>
      </c>
      <c r="F236" s="67" t="s">
        <v>230</v>
      </c>
      <c r="G236" s="67" t="s">
        <v>1052</v>
      </c>
      <c r="H236" s="37">
        <f t="shared" si="131"/>
        <v>233</v>
      </c>
      <c r="I236" s="37"/>
    </row>
    <row r="237" spans="1:9">
      <c r="A237" s="37" t="s">
        <v>3927</v>
      </c>
      <c r="B237" s="37" t="s">
        <v>3989</v>
      </c>
      <c r="C237" s="74">
        <f t="shared" ref="C237:E237" si="197">C219</f>
        <v>10000</v>
      </c>
      <c r="D237" s="74">
        <f t="shared" si="197"/>
        <v>1000</v>
      </c>
      <c r="E237" s="74">
        <f t="shared" si="197"/>
        <v>99999000</v>
      </c>
      <c r="F237" s="67" t="s">
        <v>230</v>
      </c>
      <c r="G237" s="67" t="s">
        <v>1052</v>
      </c>
      <c r="H237" s="37">
        <f t="shared" si="131"/>
        <v>234</v>
      </c>
      <c r="I237" s="37"/>
    </row>
    <row r="238" spans="1:9">
      <c r="A238" s="37" t="s">
        <v>4081</v>
      </c>
      <c r="B238" s="37" t="s">
        <v>3990</v>
      </c>
      <c r="C238" s="74">
        <f t="shared" ref="C238:E238" si="198">C220</f>
        <v>0</v>
      </c>
      <c r="D238" s="74">
        <f t="shared" si="198"/>
        <v>0</v>
      </c>
      <c r="E238" s="74">
        <f t="shared" si="198"/>
        <v>1</v>
      </c>
      <c r="F238" s="67" t="s">
        <v>230</v>
      </c>
      <c r="G238" s="67" t="s">
        <v>1052</v>
      </c>
      <c r="H238" s="37">
        <f t="shared" ref="H238:H301" si="199">ROW()-3</f>
        <v>235</v>
      </c>
      <c r="I238" s="37"/>
    </row>
    <row r="239" spans="1:9">
      <c r="A239" s="37" t="s">
        <v>1474</v>
      </c>
      <c r="B239" s="37" t="s">
        <v>1475</v>
      </c>
      <c r="C239" s="91">
        <f t="shared" ref="C239" si="200">C221+1</f>
        <v>113</v>
      </c>
      <c r="D239" s="74">
        <f t="shared" ref="D239:E239" si="201">D221</f>
        <v>1</v>
      </c>
      <c r="E239" s="74">
        <f t="shared" si="201"/>
        <v>4096</v>
      </c>
      <c r="F239" s="67" t="s">
        <v>230</v>
      </c>
      <c r="G239" s="67" t="s">
        <v>230</v>
      </c>
      <c r="H239" s="37">
        <f t="shared" si="199"/>
        <v>236</v>
      </c>
      <c r="I239" s="37"/>
    </row>
    <row r="240" spans="1:9">
      <c r="A240" s="37" t="s">
        <v>1476</v>
      </c>
      <c r="B240" s="37" t="s">
        <v>1477</v>
      </c>
      <c r="C240" s="74" t="str">
        <f t="shared" ref="C240:E240" si="202">C222</f>
        <v>0x00000000</v>
      </c>
      <c r="D240" s="74" t="str">
        <f t="shared" si="202"/>
        <v>0x80000000</v>
      </c>
      <c r="E240" s="74" t="str">
        <f t="shared" si="202"/>
        <v>0x7fffffff</v>
      </c>
      <c r="F240" s="67" t="s">
        <v>230</v>
      </c>
      <c r="G240" s="67" t="s">
        <v>1052</v>
      </c>
      <c r="H240" s="37">
        <f t="shared" si="199"/>
        <v>237</v>
      </c>
      <c r="I240" s="37"/>
    </row>
    <row r="241" spans="1:9">
      <c r="A241" s="37" t="s">
        <v>1478</v>
      </c>
      <c r="B241" s="37" t="s">
        <v>1479</v>
      </c>
      <c r="C241" s="74">
        <f t="shared" ref="C241:E241" si="203">C223</f>
        <v>0</v>
      </c>
      <c r="D241" s="74">
        <f t="shared" si="203"/>
        <v>0</v>
      </c>
      <c r="E241" s="74">
        <f t="shared" si="203"/>
        <v>65535</v>
      </c>
      <c r="F241" s="67" t="s">
        <v>230</v>
      </c>
      <c r="G241" s="67" t="s">
        <v>1052</v>
      </c>
      <c r="H241" s="37">
        <f t="shared" si="199"/>
        <v>238</v>
      </c>
      <c r="I241" s="37"/>
    </row>
    <row r="242" spans="1:9">
      <c r="A242" s="37" t="s">
        <v>1480</v>
      </c>
      <c r="B242" s="37" t="s">
        <v>1481</v>
      </c>
      <c r="C242" s="74">
        <f t="shared" ref="C242:E242" si="204">C224</f>
        <v>1</v>
      </c>
      <c r="D242" s="74">
        <f t="shared" si="204"/>
        <v>0</v>
      </c>
      <c r="E242" s="74">
        <f t="shared" si="204"/>
        <v>1</v>
      </c>
      <c r="F242" s="67" t="s">
        <v>230</v>
      </c>
      <c r="G242" s="67" t="s">
        <v>1052</v>
      </c>
      <c r="H242" s="37">
        <f t="shared" si="199"/>
        <v>239</v>
      </c>
      <c r="I242" s="37"/>
    </row>
    <row r="243" spans="1:9">
      <c r="A243" s="37" t="s">
        <v>1482</v>
      </c>
      <c r="B243" s="37" t="s">
        <v>1483</v>
      </c>
      <c r="C243" s="74">
        <f t="shared" ref="C243:E243" si="205">C225</f>
        <v>0</v>
      </c>
      <c r="D243" s="74">
        <f t="shared" si="205"/>
        <v>0</v>
      </c>
      <c r="E243" s="74">
        <f t="shared" si="205"/>
        <v>65535</v>
      </c>
      <c r="F243" s="67" t="s">
        <v>230</v>
      </c>
      <c r="G243" s="67" t="s">
        <v>1052</v>
      </c>
      <c r="H243" s="37">
        <f t="shared" si="199"/>
        <v>240</v>
      </c>
      <c r="I243" s="37"/>
    </row>
    <row r="244" spans="1:9">
      <c r="A244" s="37" t="s">
        <v>1484</v>
      </c>
      <c r="B244" s="37" t="s">
        <v>1485</v>
      </c>
      <c r="C244" s="74">
        <f t="shared" ref="C244:E244" si="206">C226</f>
        <v>0</v>
      </c>
      <c r="D244" s="74">
        <f t="shared" si="206"/>
        <v>0</v>
      </c>
      <c r="E244" s="74">
        <f t="shared" si="206"/>
        <v>1</v>
      </c>
      <c r="F244" s="67" t="s">
        <v>230</v>
      </c>
      <c r="G244" s="67" t="s">
        <v>1052</v>
      </c>
      <c r="H244" s="37">
        <f t="shared" si="199"/>
        <v>241</v>
      </c>
      <c r="I244" s="37"/>
    </row>
    <row r="245" spans="1:9">
      <c r="A245" s="37" t="s">
        <v>1486</v>
      </c>
      <c r="B245" s="37" t="s">
        <v>1487</v>
      </c>
      <c r="C245" s="74">
        <f t="shared" ref="C245:E245" si="207">C227</f>
        <v>1</v>
      </c>
      <c r="D245" s="74">
        <f t="shared" si="207"/>
        <v>0</v>
      </c>
      <c r="E245" s="74">
        <f t="shared" si="207"/>
        <v>2</v>
      </c>
      <c r="F245" s="67" t="s">
        <v>230</v>
      </c>
      <c r="G245" s="67" t="s">
        <v>1052</v>
      </c>
      <c r="H245" s="37">
        <f t="shared" si="199"/>
        <v>242</v>
      </c>
      <c r="I245" s="37"/>
    </row>
    <row r="246" spans="1:9">
      <c r="A246" s="37" t="s">
        <v>1488</v>
      </c>
      <c r="B246" s="37" t="s">
        <v>1489</v>
      </c>
      <c r="C246" s="74">
        <f t="shared" ref="C246:E246" si="208">C228</f>
        <v>0</v>
      </c>
      <c r="D246" s="74">
        <f t="shared" si="208"/>
        <v>0</v>
      </c>
      <c r="E246" s="74">
        <f t="shared" si="208"/>
        <v>3</v>
      </c>
      <c r="F246" s="67" t="s">
        <v>230</v>
      </c>
      <c r="G246" s="67" t="s">
        <v>1052</v>
      </c>
      <c r="H246" s="37">
        <f t="shared" si="199"/>
        <v>243</v>
      </c>
      <c r="I246" s="37"/>
    </row>
    <row r="247" spans="1:9">
      <c r="A247" s="37" t="s">
        <v>1490</v>
      </c>
      <c r="B247" s="37" t="s">
        <v>1491</v>
      </c>
      <c r="C247" s="74">
        <f t="shared" ref="C247:E247" si="209">C229</f>
        <v>0</v>
      </c>
      <c r="D247" s="74">
        <f t="shared" si="209"/>
        <v>0</v>
      </c>
      <c r="E247" s="74">
        <f t="shared" si="209"/>
        <v>3</v>
      </c>
      <c r="F247" s="67" t="s">
        <v>230</v>
      </c>
      <c r="G247" s="67" t="s">
        <v>1052</v>
      </c>
      <c r="H247" s="37">
        <f t="shared" si="199"/>
        <v>244</v>
      </c>
      <c r="I247" s="37"/>
    </row>
    <row r="248" spans="1:9">
      <c r="A248" s="37" t="s">
        <v>1492</v>
      </c>
      <c r="B248" s="37" t="s">
        <v>1493</v>
      </c>
      <c r="C248" s="74">
        <f t="shared" ref="C248:E248" si="210">C230</f>
        <v>0</v>
      </c>
      <c r="D248" s="74">
        <f t="shared" si="210"/>
        <v>0</v>
      </c>
      <c r="E248" s="74">
        <f t="shared" si="210"/>
        <v>3</v>
      </c>
      <c r="F248" s="67" t="s">
        <v>230</v>
      </c>
      <c r="G248" s="67" t="s">
        <v>1052</v>
      </c>
      <c r="H248" s="37">
        <f t="shared" si="199"/>
        <v>245</v>
      </c>
      <c r="I248" s="37"/>
    </row>
    <row r="249" spans="1:9">
      <c r="A249" s="37" t="s">
        <v>1494</v>
      </c>
      <c r="B249" s="37" t="s">
        <v>2666</v>
      </c>
      <c r="C249" s="74">
        <f t="shared" ref="C249:E249" si="211">C231</f>
        <v>0</v>
      </c>
      <c r="D249" s="74">
        <f t="shared" si="211"/>
        <v>0</v>
      </c>
      <c r="E249" s="74">
        <f t="shared" si="211"/>
        <v>1</v>
      </c>
      <c r="F249" s="67" t="s">
        <v>230</v>
      </c>
      <c r="G249" s="67" t="s">
        <v>1052</v>
      </c>
      <c r="H249" s="37">
        <f t="shared" si="199"/>
        <v>246</v>
      </c>
      <c r="I249" s="37"/>
    </row>
    <row r="250" spans="1:9">
      <c r="A250" s="37" t="s">
        <v>1495</v>
      </c>
      <c r="B250" s="37" t="s">
        <v>1496</v>
      </c>
      <c r="C250" s="74">
        <f t="shared" ref="C250:E250" si="212">C232</f>
        <v>0</v>
      </c>
      <c r="D250" s="74">
        <f t="shared" si="212"/>
        <v>0</v>
      </c>
      <c r="E250" s="74">
        <f t="shared" si="212"/>
        <v>1</v>
      </c>
      <c r="F250" s="67" t="s">
        <v>230</v>
      </c>
      <c r="G250" s="67" t="s">
        <v>1052</v>
      </c>
      <c r="H250" s="37">
        <f t="shared" si="199"/>
        <v>247</v>
      </c>
      <c r="I250" s="37"/>
    </row>
    <row r="251" spans="1:9">
      <c r="A251" s="37" t="s">
        <v>1497</v>
      </c>
      <c r="B251" s="37" t="s">
        <v>1498</v>
      </c>
      <c r="C251" s="74">
        <f t="shared" ref="C251:E251" si="213">C233</f>
        <v>0</v>
      </c>
      <c r="D251" s="74">
        <f t="shared" si="213"/>
        <v>0</v>
      </c>
      <c r="E251" s="74">
        <f t="shared" si="213"/>
        <v>4</v>
      </c>
      <c r="F251" s="67" t="s">
        <v>230</v>
      </c>
      <c r="G251" s="67" t="s">
        <v>1052</v>
      </c>
      <c r="H251" s="37">
        <f t="shared" si="199"/>
        <v>248</v>
      </c>
      <c r="I251" s="37"/>
    </row>
    <row r="252" spans="1:9">
      <c r="A252" s="37" t="s">
        <v>1499</v>
      </c>
      <c r="B252" s="37" t="s">
        <v>1500</v>
      </c>
      <c r="C252" s="74" t="str">
        <f t="shared" ref="C252:E252" si="214">C234</f>
        <v>(空文字)</v>
      </c>
      <c r="D252" s="74" t="str">
        <f t="shared" si="214"/>
        <v>(空文字)</v>
      </c>
      <c r="E252" s="74" t="str">
        <f t="shared" si="214"/>
        <v>(空文字)</v>
      </c>
      <c r="F252" s="67" t="s">
        <v>230</v>
      </c>
      <c r="G252" s="67" t="s">
        <v>1052</v>
      </c>
      <c r="H252" s="37">
        <f t="shared" si="199"/>
        <v>249</v>
      </c>
      <c r="I252" s="37"/>
    </row>
    <row r="253" spans="1:9">
      <c r="A253" s="37" t="s">
        <v>1501</v>
      </c>
      <c r="B253" s="37" t="s">
        <v>1502</v>
      </c>
      <c r="C253" s="74" t="str">
        <f t="shared" ref="C253:E253" si="215">C235</f>
        <v>(空文字)</v>
      </c>
      <c r="D253" s="74" t="str">
        <f t="shared" si="215"/>
        <v>(空文字)</v>
      </c>
      <c r="E253" s="74" t="str">
        <f t="shared" si="215"/>
        <v>(空文字)</v>
      </c>
      <c r="F253" s="67" t="s">
        <v>230</v>
      </c>
      <c r="G253" s="67" t="s">
        <v>1052</v>
      </c>
      <c r="H253" s="37">
        <f t="shared" si="199"/>
        <v>250</v>
      </c>
      <c r="I253" s="37"/>
    </row>
    <row r="254" spans="1:9">
      <c r="A254" s="37" t="s">
        <v>1503</v>
      </c>
      <c r="B254" s="37" t="s">
        <v>1504</v>
      </c>
      <c r="C254" s="74">
        <f t="shared" ref="C254:E254" si="216">C236</f>
        <v>0</v>
      </c>
      <c r="D254" s="74">
        <f t="shared" si="216"/>
        <v>0</v>
      </c>
      <c r="E254" s="74">
        <f t="shared" si="216"/>
        <v>3</v>
      </c>
      <c r="F254" s="67" t="s">
        <v>230</v>
      </c>
      <c r="G254" s="67" t="s">
        <v>1052</v>
      </c>
      <c r="H254" s="37">
        <f t="shared" si="199"/>
        <v>251</v>
      </c>
      <c r="I254" s="37"/>
    </row>
    <row r="255" spans="1:9">
      <c r="A255" s="37" t="s">
        <v>3928</v>
      </c>
      <c r="B255" s="37" t="s">
        <v>3991</v>
      </c>
      <c r="C255" s="74">
        <f t="shared" ref="C255:E255" si="217">C237</f>
        <v>10000</v>
      </c>
      <c r="D255" s="74">
        <f t="shared" si="217"/>
        <v>1000</v>
      </c>
      <c r="E255" s="74">
        <f t="shared" si="217"/>
        <v>99999000</v>
      </c>
      <c r="F255" s="67" t="s">
        <v>230</v>
      </c>
      <c r="G255" s="67" t="s">
        <v>1052</v>
      </c>
      <c r="H255" s="37">
        <f t="shared" si="199"/>
        <v>252</v>
      </c>
      <c r="I255" s="37"/>
    </row>
    <row r="256" spans="1:9">
      <c r="A256" s="37" t="s">
        <v>4082</v>
      </c>
      <c r="B256" s="37" t="s">
        <v>3992</v>
      </c>
      <c r="C256" s="74">
        <f t="shared" ref="C256:E256" si="218">C238</f>
        <v>0</v>
      </c>
      <c r="D256" s="74">
        <f t="shared" si="218"/>
        <v>0</v>
      </c>
      <c r="E256" s="74">
        <f t="shared" si="218"/>
        <v>1</v>
      </c>
      <c r="F256" s="67" t="s">
        <v>230</v>
      </c>
      <c r="G256" s="67" t="s">
        <v>1052</v>
      </c>
      <c r="H256" s="37">
        <f t="shared" si="199"/>
        <v>253</v>
      </c>
      <c r="I256" s="37"/>
    </row>
    <row r="257" spans="1:9">
      <c r="A257" s="37" t="s">
        <v>1505</v>
      </c>
      <c r="B257" s="37" t="s">
        <v>3993</v>
      </c>
      <c r="C257" s="91">
        <f t="shared" ref="C257" si="219">C239+1</f>
        <v>114</v>
      </c>
      <c r="D257" s="74">
        <f t="shared" ref="D257:E257" si="220">D239</f>
        <v>1</v>
      </c>
      <c r="E257" s="74">
        <f t="shared" si="220"/>
        <v>4096</v>
      </c>
      <c r="F257" s="67" t="s">
        <v>230</v>
      </c>
      <c r="G257" s="67" t="s">
        <v>230</v>
      </c>
      <c r="H257" s="37">
        <f t="shared" si="199"/>
        <v>254</v>
      </c>
      <c r="I257" s="37"/>
    </row>
    <row r="258" spans="1:9">
      <c r="A258" s="37" t="s">
        <v>1506</v>
      </c>
      <c r="B258" s="37" t="s">
        <v>1507</v>
      </c>
      <c r="C258" s="74" t="str">
        <f t="shared" ref="C258:E258" si="221">C240</f>
        <v>0x00000000</v>
      </c>
      <c r="D258" s="74" t="str">
        <f t="shared" si="221"/>
        <v>0x80000000</v>
      </c>
      <c r="E258" s="74" t="str">
        <f t="shared" si="221"/>
        <v>0x7fffffff</v>
      </c>
      <c r="F258" s="67" t="s">
        <v>230</v>
      </c>
      <c r="G258" s="67" t="s">
        <v>1052</v>
      </c>
      <c r="H258" s="37">
        <f t="shared" si="199"/>
        <v>255</v>
      </c>
      <c r="I258" s="37"/>
    </row>
    <row r="259" spans="1:9">
      <c r="A259" s="37" t="s">
        <v>1508</v>
      </c>
      <c r="B259" s="37" t="s">
        <v>1509</v>
      </c>
      <c r="C259" s="74">
        <f t="shared" ref="C259:E259" si="222">C241</f>
        <v>0</v>
      </c>
      <c r="D259" s="74">
        <f t="shared" si="222"/>
        <v>0</v>
      </c>
      <c r="E259" s="74">
        <f t="shared" si="222"/>
        <v>65535</v>
      </c>
      <c r="F259" s="67" t="s">
        <v>230</v>
      </c>
      <c r="G259" s="67" t="s">
        <v>1052</v>
      </c>
      <c r="H259" s="37">
        <f t="shared" si="199"/>
        <v>256</v>
      </c>
      <c r="I259" s="37"/>
    </row>
    <row r="260" spans="1:9">
      <c r="A260" s="37" t="s">
        <v>1510</v>
      </c>
      <c r="B260" s="37" t="s">
        <v>1511</v>
      </c>
      <c r="C260" s="74">
        <f t="shared" ref="C260:E260" si="223">C242</f>
        <v>1</v>
      </c>
      <c r="D260" s="74">
        <f t="shared" si="223"/>
        <v>0</v>
      </c>
      <c r="E260" s="74">
        <f t="shared" si="223"/>
        <v>1</v>
      </c>
      <c r="F260" s="67" t="s">
        <v>230</v>
      </c>
      <c r="G260" s="67" t="s">
        <v>1052</v>
      </c>
      <c r="H260" s="37">
        <f t="shared" si="199"/>
        <v>257</v>
      </c>
      <c r="I260" s="37"/>
    </row>
    <row r="261" spans="1:9">
      <c r="A261" s="37" t="s">
        <v>1512</v>
      </c>
      <c r="B261" s="37" t="s">
        <v>1513</v>
      </c>
      <c r="C261" s="74">
        <f t="shared" ref="C261:E261" si="224">C243</f>
        <v>0</v>
      </c>
      <c r="D261" s="74">
        <f t="shared" si="224"/>
        <v>0</v>
      </c>
      <c r="E261" s="74">
        <f t="shared" si="224"/>
        <v>65535</v>
      </c>
      <c r="F261" s="67" t="s">
        <v>230</v>
      </c>
      <c r="G261" s="67" t="s">
        <v>1052</v>
      </c>
      <c r="H261" s="37">
        <f t="shared" si="199"/>
        <v>258</v>
      </c>
      <c r="I261" s="37"/>
    </row>
    <row r="262" spans="1:9">
      <c r="A262" s="37" t="s">
        <v>1514</v>
      </c>
      <c r="B262" s="37" t="s">
        <v>1515</v>
      </c>
      <c r="C262" s="74">
        <f t="shared" ref="C262:E262" si="225">C244</f>
        <v>0</v>
      </c>
      <c r="D262" s="74">
        <f t="shared" si="225"/>
        <v>0</v>
      </c>
      <c r="E262" s="74">
        <f t="shared" si="225"/>
        <v>1</v>
      </c>
      <c r="F262" s="67" t="s">
        <v>230</v>
      </c>
      <c r="G262" s="67" t="s">
        <v>1052</v>
      </c>
      <c r="H262" s="37">
        <f t="shared" si="199"/>
        <v>259</v>
      </c>
      <c r="I262" s="37"/>
    </row>
    <row r="263" spans="1:9">
      <c r="A263" s="37" t="s">
        <v>1516</v>
      </c>
      <c r="B263" s="37" t="s">
        <v>1517</v>
      </c>
      <c r="C263" s="74">
        <f t="shared" ref="C263:E263" si="226">C245</f>
        <v>1</v>
      </c>
      <c r="D263" s="74">
        <f t="shared" si="226"/>
        <v>0</v>
      </c>
      <c r="E263" s="74">
        <f t="shared" si="226"/>
        <v>2</v>
      </c>
      <c r="F263" s="67" t="s">
        <v>230</v>
      </c>
      <c r="G263" s="67" t="s">
        <v>1052</v>
      </c>
      <c r="H263" s="37">
        <f t="shared" si="199"/>
        <v>260</v>
      </c>
      <c r="I263" s="37"/>
    </row>
    <row r="264" spans="1:9">
      <c r="A264" s="37" t="s">
        <v>1518</v>
      </c>
      <c r="B264" s="37" t="s">
        <v>1519</v>
      </c>
      <c r="C264" s="74">
        <f t="shared" ref="C264:E264" si="227">C246</f>
        <v>0</v>
      </c>
      <c r="D264" s="74">
        <f t="shared" si="227"/>
        <v>0</v>
      </c>
      <c r="E264" s="74">
        <f t="shared" si="227"/>
        <v>3</v>
      </c>
      <c r="F264" s="67" t="s">
        <v>230</v>
      </c>
      <c r="G264" s="67" t="s">
        <v>1052</v>
      </c>
      <c r="H264" s="37">
        <f t="shared" si="199"/>
        <v>261</v>
      </c>
      <c r="I264" s="37"/>
    </row>
    <row r="265" spans="1:9">
      <c r="A265" s="37" t="s">
        <v>1520</v>
      </c>
      <c r="B265" s="37" t="s">
        <v>1521</v>
      </c>
      <c r="C265" s="74">
        <f t="shared" ref="C265:E265" si="228">C247</f>
        <v>0</v>
      </c>
      <c r="D265" s="74">
        <f t="shared" si="228"/>
        <v>0</v>
      </c>
      <c r="E265" s="74">
        <f t="shared" si="228"/>
        <v>3</v>
      </c>
      <c r="F265" s="67" t="s">
        <v>230</v>
      </c>
      <c r="G265" s="67" t="s">
        <v>1052</v>
      </c>
      <c r="H265" s="37">
        <f t="shared" si="199"/>
        <v>262</v>
      </c>
      <c r="I265" s="37"/>
    </row>
    <row r="266" spans="1:9">
      <c r="A266" s="37" t="s">
        <v>1522</v>
      </c>
      <c r="B266" s="37" t="s">
        <v>1523</v>
      </c>
      <c r="C266" s="74">
        <f t="shared" ref="C266:E266" si="229">C248</f>
        <v>0</v>
      </c>
      <c r="D266" s="74">
        <f t="shared" si="229"/>
        <v>0</v>
      </c>
      <c r="E266" s="74">
        <f t="shared" si="229"/>
        <v>3</v>
      </c>
      <c r="F266" s="67" t="s">
        <v>230</v>
      </c>
      <c r="G266" s="67" t="s">
        <v>1052</v>
      </c>
      <c r="H266" s="37">
        <f t="shared" si="199"/>
        <v>263</v>
      </c>
      <c r="I266" s="37"/>
    </row>
    <row r="267" spans="1:9">
      <c r="A267" s="37" t="s">
        <v>1524</v>
      </c>
      <c r="B267" s="37" t="s">
        <v>2667</v>
      </c>
      <c r="C267" s="74">
        <f t="shared" ref="C267:E267" si="230">C249</f>
        <v>0</v>
      </c>
      <c r="D267" s="74">
        <f t="shared" si="230"/>
        <v>0</v>
      </c>
      <c r="E267" s="74">
        <f t="shared" si="230"/>
        <v>1</v>
      </c>
      <c r="F267" s="67" t="s">
        <v>230</v>
      </c>
      <c r="G267" s="67" t="s">
        <v>1052</v>
      </c>
      <c r="H267" s="37">
        <f t="shared" si="199"/>
        <v>264</v>
      </c>
      <c r="I267" s="37"/>
    </row>
    <row r="268" spans="1:9">
      <c r="A268" s="37" t="s">
        <v>1525</v>
      </c>
      <c r="B268" s="37" t="s">
        <v>1526</v>
      </c>
      <c r="C268" s="74">
        <f t="shared" ref="C268:E268" si="231">C250</f>
        <v>0</v>
      </c>
      <c r="D268" s="74">
        <f t="shared" si="231"/>
        <v>0</v>
      </c>
      <c r="E268" s="74">
        <f t="shared" si="231"/>
        <v>1</v>
      </c>
      <c r="F268" s="67" t="s">
        <v>230</v>
      </c>
      <c r="G268" s="67" t="s">
        <v>1052</v>
      </c>
      <c r="H268" s="37">
        <f t="shared" si="199"/>
        <v>265</v>
      </c>
      <c r="I268" s="37"/>
    </row>
    <row r="269" spans="1:9">
      <c r="A269" s="37" t="s">
        <v>1527</v>
      </c>
      <c r="B269" s="37" t="s">
        <v>1528</v>
      </c>
      <c r="C269" s="74">
        <f t="shared" ref="C269:E269" si="232">C251</f>
        <v>0</v>
      </c>
      <c r="D269" s="74">
        <f t="shared" si="232"/>
        <v>0</v>
      </c>
      <c r="E269" s="74">
        <f t="shared" si="232"/>
        <v>4</v>
      </c>
      <c r="F269" s="67" t="s">
        <v>230</v>
      </c>
      <c r="G269" s="67" t="s">
        <v>1052</v>
      </c>
      <c r="H269" s="37">
        <f t="shared" si="199"/>
        <v>266</v>
      </c>
      <c r="I269" s="37"/>
    </row>
    <row r="270" spans="1:9">
      <c r="A270" s="37" t="s">
        <v>1529</v>
      </c>
      <c r="B270" s="37" t="s">
        <v>1530</v>
      </c>
      <c r="C270" s="74" t="str">
        <f t="shared" ref="C270:E270" si="233">C252</f>
        <v>(空文字)</v>
      </c>
      <c r="D270" s="74" t="str">
        <f t="shared" si="233"/>
        <v>(空文字)</v>
      </c>
      <c r="E270" s="74" t="str">
        <f t="shared" si="233"/>
        <v>(空文字)</v>
      </c>
      <c r="F270" s="67" t="s">
        <v>230</v>
      </c>
      <c r="G270" s="67" t="s">
        <v>1052</v>
      </c>
      <c r="H270" s="37">
        <f t="shared" si="199"/>
        <v>267</v>
      </c>
      <c r="I270" s="37"/>
    </row>
    <row r="271" spans="1:9">
      <c r="A271" s="37" t="s">
        <v>1531</v>
      </c>
      <c r="B271" s="37" t="s">
        <v>1532</v>
      </c>
      <c r="C271" s="74" t="str">
        <f t="shared" ref="C271:E271" si="234">C253</f>
        <v>(空文字)</v>
      </c>
      <c r="D271" s="74" t="str">
        <f t="shared" si="234"/>
        <v>(空文字)</v>
      </c>
      <c r="E271" s="74" t="str">
        <f t="shared" si="234"/>
        <v>(空文字)</v>
      </c>
      <c r="F271" s="67" t="s">
        <v>230</v>
      </c>
      <c r="G271" s="67" t="s">
        <v>1052</v>
      </c>
      <c r="H271" s="37">
        <f t="shared" si="199"/>
        <v>268</v>
      </c>
      <c r="I271" s="37"/>
    </row>
    <row r="272" spans="1:9">
      <c r="A272" s="37" t="s">
        <v>1533</v>
      </c>
      <c r="B272" s="37" t="s">
        <v>1534</v>
      </c>
      <c r="C272" s="74">
        <f t="shared" ref="C272:E272" si="235">C254</f>
        <v>0</v>
      </c>
      <c r="D272" s="74">
        <f t="shared" si="235"/>
        <v>0</v>
      </c>
      <c r="E272" s="74">
        <f t="shared" si="235"/>
        <v>3</v>
      </c>
      <c r="F272" s="67" t="s">
        <v>230</v>
      </c>
      <c r="G272" s="67" t="s">
        <v>1052</v>
      </c>
      <c r="H272" s="37">
        <f t="shared" si="199"/>
        <v>269</v>
      </c>
      <c r="I272" s="37"/>
    </row>
    <row r="273" spans="1:9">
      <c r="A273" s="37" t="s">
        <v>3929</v>
      </c>
      <c r="B273" s="37" t="s">
        <v>3994</v>
      </c>
      <c r="C273" s="74">
        <f t="shared" ref="C273:E273" si="236">C255</f>
        <v>10000</v>
      </c>
      <c r="D273" s="74">
        <f t="shared" si="236"/>
        <v>1000</v>
      </c>
      <c r="E273" s="74">
        <f t="shared" si="236"/>
        <v>99999000</v>
      </c>
      <c r="F273" s="67" t="s">
        <v>230</v>
      </c>
      <c r="G273" s="67" t="s">
        <v>1052</v>
      </c>
      <c r="H273" s="37">
        <f t="shared" si="199"/>
        <v>270</v>
      </c>
      <c r="I273" s="37"/>
    </row>
    <row r="274" spans="1:9">
      <c r="A274" s="37" t="s">
        <v>4083</v>
      </c>
      <c r="B274" s="37" t="s">
        <v>3995</v>
      </c>
      <c r="C274" s="74">
        <f t="shared" ref="C274:E274" si="237">C256</f>
        <v>0</v>
      </c>
      <c r="D274" s="74">
        <f t="shared" si="237"/>
        <v>0</v>
      </c>
      <c r="E274" s="74">
        <f t="shared" si="237"/>
        <v>1</v>
      </c>
      <c r="F274" s="67" t="s">
        <v>230</v>
      </c>
      <c r="G274" s="67" t="s">
        <v>1052</v>
      </c>
      <c r="H274" s="37">
        <f t="shared" si="199"/>
        <v>271</v>
      </c>
      <c r="I274" s="37"/>
    </row>
    <row r="275" spans="1:9">
      <c r="A275" s="37" t="s">
        <v>1535</v>
      </c>
      <c r="B275" s="37" t="s">
        <v>1536</v>
      </c>
      <c r="C275" s="91">
        <f t="shared" ref="C275" si="238">C257+1</f>
        <v>115</v>
      </c>
      <c r="D275" s="74">
        <f t="shared" ref="D275:E275" si="239">D257</f>
        <v>1</v>
      </c>
      <c r="E275" s="74">
        <f t="shared" si="239"/>
        <v>4096</v>
      </c>
      <c r="F275" s="67" t="s">
        <v>230</v>
      </c>
      <c r="G275" s="67" t="s">
        <v>230</v>
      </c>
      <c r="H275" s="37">
        <f t="shared" si="199"/>
        <v>272</v>
      </c>
      <c r="I275" s="37"/>
    </row>
    <row r="276" spans="1:9">
      <c r="A276" s="37" t="s">
        <v>1537</v>
      </c>
      <c r="B276" s="37" t="s">
        <v>1538</v>
      </c>
      <c r="C276" s="74" t="str">
        <f t="shared" ref="C276:E276" si="240">C258</f>
        <v>0x00000000</v>
      </c>
      <c r="D276" s="74" t="str">
        <f t="shared" si="240"/>
        <v>0x80000000</v>
      </c>
      <c r="E276" s="74" t="str">
        <f t="shared" si="240"/>
        <v>0x7fffffff</v>
      </c>
      <c r="F276" s="67" t="s">
        <v>230</v>
      </c>
      <c r="G276" s="67" t="s">
        <v>1052</v>
      </c>
      <c r="H276" s="37">
        <f t="shared" si="199"/>
        <v>273</v>
      </c>
      <c r="I276" s="37"/>
    </row>
    <row r="277" spans="1:9">
      <c r="A277" s="37" t="s">
        <v>1539</v>
      </c>
      <c r="B277" s="37" t="s">
        <v>1540</v>
      </c>
      <c r="C277" s="74">
        <f t="shared" ref="C277:E277" si="241">C259</f>
        <v>0</v>
      </c>
      <c r="D277" s="74">
        <f t="shared" si="241"/>
        <v>0</v>
      </c>
      <c r="E277" s="74">
        <f t="shared" si="241"/>
        <v>65535</v>
      </c>
      <c r="F277" s="67" t="s">
        <v>230</v>
      </c>
      <c r="G277" s="67" t="s">
        <v>1052</v>
      </c>
      <c r="H277" s="37">
        <f t="shared" si="199"/>
        <v>274</v>
      </c>
      <c r="I277" s="37"/>
    </row>
    <row r="278" spans="1:9">
      <c r="A278" s="37" t="s">
        <v>1541</v>
      </c>
      <c r="B278" s="37" t="s">
        <v>1542</v>
      </c>
      <c r="C278" s="74">
        <f t="shared" ref="C278:E278" si="242">C260</f>
        <v>1</v>
      </c>
      <c r="D278" s="74">
        <f t="shared" si="242"/>
        <v>0</v>
      </c>
      <c r="E278" s="74">
        <f t="shared" si="242"/>
        <v>1</v>
      </c>
      <c r="F278" s="67" t="s">
        <v>230</v>
      </c>
      <c r="G278" s="67" t="s">
        <v>1052</v>
      </c>
      <c r="H278" s="37">
        <f t="shared" si="199"/>
        <v>275</v>
      </c>
      <c r="I278" s="37"/>
    </row>
    <row r="279" spans="1:9">
      <c r="A279" s="37" t="s">
        <v>1543</v>
      </c>
      <c r="B279" s="37" t="s">
        <v>1544</v>
      </c>
      <c r="C279" s="74">
        <f t="shared" ref="C279:E279" si="243">C261</f>
        <v>0</v>
      </c>
      <c r="D279" s="74">
        <f t="shared" si="243"/>
        <v>0</v>
      </c>
      <c r="E279" s="74">
        <f t="shared" si="243"/>
        <v>65535</v>
      </c>
      <c r="F279" s="67" t="s">
        <v>230</v>
      </c>
      <c r="G279" s="67" t="s">
        <v>1052</v>
      </c>
      <c r="H279" s="37">
        <f t="shared" si="199"/>
        <v>276</v>
      </c>
      <c r="I279" s="37"/>
    </row>
    <row r="280" spans="1:9">
      <c r="A280" s="37" t="s">
        <v>1545</v>
      </c>
      <c r="B280" s="37" t="s">
        <v>1546</v>
      </c>
      <c r="C280" s="74">
        <f t="shared" ref="C280:E280" si="244">C262</f>
        <v>0</v>
      </c>
      <c r="D280" s="74">
        <f t="shared" si="244"/>
        <v>0</v>
      </c>
      <c r="E280" s="74">
        <f t="shared" si="244"/>
        <v>1</v>
      </c>
      <c r="F280" s="67" t="s">
        <v>230</v>
      </c>
      <c r="G280" s="67" t="s">
        <v>1052</v>
      </c>
      <c r="H280" s="37">
        <f t="shared" si="199"/>
        <v>277</v>
      </c>
      <c r="I280" s="37"/>
    </row>
    <row r="281" spans="1:9">
      <c r="A281" s="37" t="s">
        <v>1547</v>
      </c>
      <c r="B281" s="37" t="s">
        <v>1548</v>
      </c>
      <c r="C281" s="74">
        <f t="shared" ref="C281:E281" si="245">C263</f>
        <v>1</v>
      </c>
      <c r="D281" s="74">
        <f t="shared" si="245"/>
        <v>0</v>
      </c>
      <c r="E281" s="74">
        <f t="shared" si="245"/>
        <v>2</v>
      </c>
      <c r="F281" s="67" t="s">
        <v>230</v>
      </c>
      <c r="G281" s="67" t="s">
        <v>1052</v>
      </c>
      <c r="H281" s="37">
        <f t="shared" si="199"/>
        <v>278</v>
      </c>
      <c r="I281" s="37"/>
    </row>
    <row r="282" spans="1:9">
      <c r="A282" s="37" t="s">
        <v>1549</v>
      </c>
      <c r="B282" s="37" t="s">
        <v>1550</v>
      </c>
      <c r="C282" s="74">
        <f t="shared" ref="C282:E282" si="246">C264</f>
        <v>0</v>
      </c>
      <c r="D282" s="74">
        <f t="shared" si="246"/>
        <v>0</v>
      </c>
      <c r="E282" s="74">
        <f t="shared" si="246"/>
        <v>3</v>
      </c>
      <c r="F282" s="67" t="s">
        <v>230</v>
      </c>
      <c r="G282" s="67" t="s">
        <v>1052</v>
      </c>
      <c r="H282" s="37">
        <f t="shared" si="199"/>
        <v>279</v>
      </c>
      <c r="I282" s="37"/>
    </row>
    <row r="283" spans="1:9">
      <c r="A283" s="37" t="s">
        <v>1551</v>
      </c>
      <c r="B283" s="37" t="s">
        <v>1552</v>
      </c>
      <c r="C283" s="74">
        <f t="shared" ref="C283:E283" si="247">C265</f>
        <v>0</v>
      </c>
      <c r="D283" s="74">
        <f t="shared" si="247"/>
        <v>0</v>
      </c>
      <c r="E283" s="74">
        <f t="shared" si="247"/>
        <v>3</v>
      </c>
      <c r="F283" s="67" t="s">
        <v>230</v>
      </c>
      <c r="G283" s="67" t="s">
        <v>1052</v>
      </c>
      <c r="H283" s="37">
        <f t="shared" si="199"/>
        <v>280</v>
      </c>
      <c r="I283" s="37"/>
    </row>
    <row r="284" spans="1:9">
      <c r="A284" s="37" t="s">
        <v>1553</v>
      </c>
      <c r="B284" s="37" t="s">
        <v>1554</v>
      </c>
      <c r="C284" s="74">
        <f t="shared" ref="C284:E284" si="248">C266</f>
        <v>0</v>
      </c>
      <c r="D284" s="74">
        <f t="shared" si="248"/>
        <v>0</v>
      </c>
      <c r="E284" s="74">
        <f t="shared" si="248"/>
        <v>3</v>
      </c>
      <c r="F284" s="67" t="s">
        <v>230</v>
      </c>
      <c r="G284" s="67" t="s">
        <v>1052</v>
      </c>
      <c r="H284" s="37">
        <f t="shared" si="199"/>
        <v>281</v>
      </c>
      <c r="I284" s="37"/>
    </row>
    <row r="285" spans="1:9">
      <c r="A285" s="37" t="s">
        <v>1555</v>
      </c>
      <c r="B285" s="37" t="s">
        <v>2668</v>
      </c>
      <c r="C285" s="74">
        <f t="shared" ref="C285:E285" si="249">C267</f>
        <v>0</v>
      </c>
      <c r="D285" s="74">
        <f t="shared" si="249"/>
        <v>0</v>
      </c>
      <c r="E285" s="74">
        <f t="shared" si="249"/>
        <v>1</v>
      </c>
      <c r="F285" s="67" t="s">
        <v>230</v>
      </c>
      <c r="G285" s="67" t="s">
        <v>1052</v>
      </c>
      <c r="H285" s="37">
        <f t="shared" si="199"/>
        <v>282</v>
      </c>
      <c r="I285" s="37"/>
    </row>
    <row r="286" spans="1:9">
      <c r="A286" s="37" t="s">
        <v>1556</v>
      </c>
      <c r="B286" s="37" t="s">
        <v>1557</v>
      </c>
      <c r="C286" s="74">
        <f t="shared" ref="C286:E286" si="250">C268</f>
        <v>0</v>
      </c>
      <c r="D286" s="74">
        <f t="shared" si="250"/>
        <v>0</v>
      </c>
      <c r="E286" s="74">
        <f t="shared" si="250"/>
        <v>1</v>
      </c>
      <c r="F286" s="67" t="s">
        <v>230</v>
      </c>
      <c r="G286" s="67" t="s">
        <v>1052</v>
      </c>
      <c r="H286" s="37">
        <f t="shared" si="199"/>
        <v>283</v>
      </c>
      <c r="I286" s="37"/>
    </row>
    <row r="287" spans="1:9">
      <c r="A287" s="37" t="s">
        <v>1558</v>
      </c>
      <c r="B287" s="37" t="s">
        <v>1559</v>
      </c>
      <c r="C287" s="74">
        <f t="shared" ref="C287:E287" si="251">C269</f>
        <v>0</v>
      </c>
      <c r="D287" s="74">
        <f t="shared" si="251"/>
        <v>0</v>
      </c>
      <c r="E287" s="74">
        <f t="shared" si="251"/>
        <v>4</v>
      </c>
      <c r="F287" s="67" t="s">
        <v>230</v>
      </c>
      <c r="G287" s="67" t="s">
        <v>1052</v>
      </c>
      <c r="H287" s="37">
        <f t="shared" si="199"/>
        <v>284</v>
      </c>
      <c r="I287" s="37"/>
    </row>
    <row r="288" spans="1:9">
      <c r="A288" s="37" t="s">
        <v>1560</v>
      </c>
      <c r="B288" s="37" t="s">
        <v>1561</v>
      </c>
      <c r="C288" s="74" t="str">
        <f t="shared" ref="C288:E288" si="252">C270</f>
        <v>(空文字)</v>
      </c>
      <c r="D288" s="74" t="str">
        <f t="shared" si="252"/>
        <v>(空文字)</v>
      </c>
      <c r="E288" s="74" t="str">
        <f t="shared" si="252"/>
        <v>(空文字)</v>
      </c>
      <c r="F288" s="67" t="s">
        <v>230</v>
      </c>
      <c r="G288" s="67" t="s">
        <v>1052</v>
      </c>
      <c r="H288" s="37">
        <f t="shared" si="199"/>
        <v>285</v>
      </c>
      <c r="I288" s="37"/>
    </row>
    <row r="289" spans="1:9">
      <c r="A289" s="37" t="s">
        <v>1562</v>
      </c>
      <c r="B289" s="37" t="s">
        <v>1563</v>
      </c>
      <c r="C289" s="74" t="str">
        <f t="shared" ref="C289:E289" si="253">C271</f>
        <v>(空文字)</v>
      </c>
      <c r="D289" s="74" t="str">
        <f t="shared" si="253"/>
        <v>(空文字)</v>
      </c>
      <c r="E289" s="74" t="str">
        <f t="shared" si="253"/>
        <v>(空文字)</v>
      </c>
      <c r="F289" s="67" t="s">
        <v>230</v>
      </c>
      <c r="G289" s="67" t="s">
        <v>1052</v>
      </c>
      <c r="H289" s="37">
        <f t="shared" si="199"/>
        <v>286</v>
      </c>
      <c r="I289" s="37"/>
    </row>
    <row r="290" spans="1:9">
      <c r="A290" s="37" t="s">
        <v>1564</v>
      </c>
      <c r="B290" s="37" t="s">
        <v>1565</v>
      </c>
      <c r="C290" s="74">
        <f t="shared" ref="C290:E290" si="254">C272</f>
        <v>0</v>
      </c>
      <c r="D290" s="74">
        <f t="shared" si="254"/>
        <v>0</v>
      </c>
      <c r="E290" s="74">
        <f t="shared" si="254"/>
        <v>3</v>
      </c>
      <c r="F290" s="67" t="s">
        <v>230</v>
      </c>
      <c r="G290" s="67" t="s">
        <v>1052</v>
      </c>
      <c r="H290" s="37">
        <f t="shared" si="199"/>
        <v>287</v>
      </c>
      <c r="I290" s="37"/>
    </row>
    <row r="291" spans="1:9">
      <c r="A291" s="37" t="s">
        <v>3930</v>
      </c>
      <c r="B291" s="37" t="s">
        <v>3996</v>
      </c>
      <c r="C291" s="74">
        <f t="shared" ref="C291:E291" si="255">C273</f>
        <v>10000</v>
      </c>
      <c r="D291" s="74">
        <f t="shared" si="255"/>
        <v>1000</v>
      </c>
      <c r="E291" s="74">
        <f t="shared" si="255"/>
        <v>99999000</v>
      </c>
      <c r="F291" s="67" t="s">
        <v>230</v>
      </c>
      <c r="G291" s="67" t="s">
        <v>1052</v>
      </c>
      <c r="H291" s="37">
        <f t="shared" si="199"/>
        <v>288</v>
      </c>
      <c r="I291" s="37"/>
    </row>
    <row r="292" spans="1:9">
      <c r="A292" s="37" t="s">
        <v>4084</v>
      </c>
      <c r="B292" s="37" t="s">
        <v>3997</v>
      </c>
      <c r="C292" s="74">
        <f t="shared" ref="C292:E292" si="256">C274</f>
        <v>0</v>
      </c>
      <c r="D292" s="74">
        <f t="shared" si="256"/>
        <v>0</v>
      </c>
      <c r="E292" s="74">
        <f t="shared" si="256"/>
        <v>1</v>
      </c>
      <c r="F292" s="67" t="s">
        <v>230</v>
      </c>
      <c r="G292" s="67" t="s">
        <v>1052</v>
      </c>
      <c r="H292" s="37">
        <f t="shared" si="199"/>
        <v>289</v>
      </c>
      <c r="I292" s="37"/>
    </row>
    <row r="293" spans="1:9">
      <c r="A293" s="37" t="s">
        <v>1566</v>
      </c>
      <c r="B293" s="37" t="s">
        <v>1567</v>
      </c>
      <c r="C293" s="91">
        <f t="shared" ref="C293" si="257">C275+1</f>
        <v>116</v>
      </c>
      <c r="D293" s="74">
        <f t="shared" ref="D293:E293" si="258">D275</f>
        <v>1</v>
      </c>
      <c r="E293" s="74">
        <f t="shared" si="258"/>
        <v>4096</v>
      </c>
      <c r="F293" s="67" t="s">
        <v>230</v>
      </c>
      <c r="G293" s="67" t="s">
        <v>230</v>
      </c>
      <c r="H293" s="37">
        <f t="shared" si="199"/>
        <v>290</v>
      </c>
      <c r="I293" s="37"/>
    </row>
    <row r="294" spans="1:9">
      <c r="A294" s="37" t="s">
        <v>1568</v>
      </c>
      <c r="B294" s="37" t="s">
        <v>1569</v>
      </c>
      <c r="C294" s="74" t="str">
        <f t="shared" ref="C294:E294" si="259">C276</f>
        <v>0x00000000</v>
      </c>
      <c r="D294" s="74" t="str">
        <f t="shared" si="259"/>
        <v>0x80000000</v>
      </c>
      <c r="E294" s="74" t="str">
        <f t="shared" si="259"/>
        <v>0x7fffffff</v>
      </c>
      <c r="F294" s="67" t="s">
        <v>230</v>
      </c>
      <c r="G294" s="67" t="s">
        <v>1052</v>
      </c>
      <c r="H294" s="37">
        <f t="shared" si="199"/>
        <v>291</v>
      </c>
      <c r="I294" s="37"/>
    </row>
    <row r="295" spans="1:9">
      <c r="A295" s="37" t="s">
        <v>1570</v>
      </c>
      <c r="B295" s="37" t="s">
        <v>1571</v>
      </c>
      <c r="C295" s="74">
        <f t="shared" ref="C295:E295" si="260">C277</f>
        <v>0</v>
      </c>
      <c r="D295" s="74">
        <f t="shared" si="260"/>
        <v>0</v>
      </c>
      <c r="E295" s="74">
        <f t="shared" si="260"/>
        <v>65535</v>
      </c>
      <c r="F295" s="67" t="s">
        <v>230</v>
      </c>
      <c r="G295" s="67" t="s">
        <v>1052</v>
      </c>
      <c r="H295" s="37">
        <f t="shared" si="199"/>
        <v>292</v>
      </c>
      <c r="I295" s="37"/>
    </row>
    <row r="296" spans="1:9">
      <c r="A296" s="37" t="s">
        <v>1572</v>
      </c>
      <c r="B296" s="37" t="s">
        <v>1573</v>
      </c>
      <c r="C296" s="74">
        <f t="shared" ref="C296:E296" si="261">C278</f>
        <v>1</v>
      </c>
      <c r="D296" s="74">
        <f t="shared" si="261"/>
        <v>0</v>
      </c>
      <c r="E296" s="74">
        <f t="shared" si="261"/>
        <v>1</v>
      </c>
      <c r="F296" s="67" t="s">
        <v>230</v>
      </c>
      <c r="G296" s="67" t="s">
        <v>1052</v>
      </c>
      <c r="H296" s="37">
        <f t="shared" si="199"/>
        <v>293</v>
      </c>
      <c r="I296" s="37"/>
    </row>
    <row r="297" spans="1:9">
      <c r="A297" s="37" t="s">
        <v>1574</v>
      </c>
      <c r="B297" s="37" t="s">
        <v>1575</v>
      </c>
      <c r="C297" s="74">
        <f t="shared" ref="C297:E297" si="262">C279</f>
        <v>0</v>
      </c>
      <c r="D297" s="74">
        <f t="shared" si="262"/>
        <v>0</v>
      </c>
      <c r="E297" s="74">
        <f t="shared" si="262"/>
        <v>65535</v>
      </c>
      <c r="F297" s="67" t="s">
        <v>230</v>
      </c>
      <c r="G297" s="67" t="s">
        <v>1052</v>
      </c>
      <c r="H297" s="37">
        <f t="shared" si="199"/>
        <v>294</v>
      </c>
      <c r="I297" s="37"/>
    </row>
    <row r="298" spans="1:9">
      <c r="A298" s="37" t="s">
        <v>1576</v>
      </c>
      <c r="B298" s="37" t="s">
        <v>1577</v>
      </c>
      <c r="C298" s="74">
        <f t="shared" ref="C298:E298" si="263">C280</f>
        <v>0</v>
      </c>
      <c r="D298" s="74">
        <f t="shared" si="263"/>
        <v>0</v>
      </c>
      <c r="E298" s="74">
        <f t="shared" si="263"/>
        <v>1</v>
      </c>
      <c r="F298" s="67" t="s">
        <v>230</v>
      </c>
      <c r="G298" s="67" t="s">
        <v>1052</v>
      </c>
      <c r="H298" s="37">
        <f t="shared" si="199"/>
        <v>295</v>
      </c>
      <c r="I298" s="37"/>
    </row>
    <row r="299" spans="1:9">
      <c r="A299" s="37" t="s">
        <v>1578</v>
      </c>
      <c r="B299" s="37" t="s">
        <v>1579</v>
      </c>
      <c r="C299" s="74">
        <f t="shared" ref="C299:E299" si="264">C281</f>
        <v>1</v>
      </c>
      <c r="D299" s="74">
        <f t="shared" si="264"/>
        <v>0</v>
      </c>
      <c r="E299" s="74">
        <f t="shared" si="264"/>
        <v>2</v>
      </c>
      <c r="F299" s="67" t="s">
        <v>230</v>
      </c>
      <c r="G299" s="67" t="s">
        <v>1052</v>
      </c>
      <c r="H299" s="37">
        <f t="shared" si="199"/>
        <v>296</v>
      </c>
      <c r="I299" s="37"/>
    </row>
    <row r="300" spans="1:9">
      <c r="A300" s="37" t="s">
        <v>1580</v>
      </c>
      <c r="B300" s="37" t="s">
        <v>1581</v>
      </c>
      <c r="C300" s="74">
        <f t="shared" ref="C300:E300" si="265">C282</f>
        <v>0</v>
      </c>
      <c r="D300" s="74">
        <f t="shared" si="265"/>
        <v>0</v>
      </c>
      <c r="E300" s="74">
        <f t="shared" si="265"/>
        <v>3</v>
      </c>
      <c r="F300" s="67" t="s">
        <v>230</v>
      </c>
      <c r="G300" s="67" t="s">
        <v>1052</v>
      </c>
      <c r="H300" s="37">
        <f t="shared" si="199"/>
        <v>297</v>
      </c>
      <c r="I300" s="37"/>
    </row>
    <row r="301" spans="1:9">
      <c r="A301" s="37" t="s">
        <v>1582</v>
      </c>
      <c r="B301" s="37" t="s">
        <v>1583</v>
      </c>
      <c r="C301" s="74">
        <f t="shared" ref="C301:E301" si="266">C283</f>
        <v>0</v>
      </c>
      <c r="D301" s="74">
        <f t="shared" si="266"/>
        <v>0</v>
      </c>
      <c r="E301" s="74">
        <f t="shared" si="266"/>
        <v>3</v>
      </c>
      <c r="F301" s="67" t="s">
        <v>230</v>
      </c>
      <c r="G301" s="67" t="s">
        <v>1052</v>
      </c>
      <c r="H301" s="37">
        <f t="shared" si="199"/>
        <v>298</v>
      </c>
      <c r="I301" s="37"/>
    </row>
    <row r="302" spans="1:9">
      <c r="A302" s="37" t="s">
        <v>1584</v>
      </c>
      <c r="B302" s="37" t="s">
        <v>1585</v>
      </c>
      <c r="C302" s="74">
        <f t="shared" ref="C302:E302" si="267">C284</f>
        <v>0</v>
      </c>
      <c r="D302" s="74">
        <f t="shared" si="267"/>
        <v>0</v>
      </c>
      <c r="E302" s="74">
        <f t="shared" si="267"/>
        <v>3</v>
      </c>
      <c r="F302" s="67" t="s">
        <v>230</v>
      </c>
      <c r="G302" s="67" t="s">
        <v>1052</v>
      </c>
      <c r="H302" s="37">
        <f t="shared" ref="H302:H365" si="268">ROW()-3</f>
        <v>299</v>
      </c>
      <c r="I302" s="37"/>
    </row>
    <row r="303" spans="1:9">
      <c r="A303" s="37" t="s">
        <v>1586</v>
      </c>
      <c r="B303" s="37" t="s">
        <v>2669</v>
      </c>
      <c r="C303" s="74">
        <f t="shared" ref="C303:E303" si="269">C285</f>
        <v>0</v>
      </c>
      <c r="D303" s="74">
        <f t="shared" si="269"/>
        <v>0</v>
      </c>
      <c r="E303" s="74">
        <f t="shared" si="269"/>
        <v>1</v>
      </c>
      <c r="F303" s="67" t="s">
        <v>230</v>
      </c>
      <c r="G303" s="67" t="s">
        <v>1052</v>
      </c>
      <c r="H303" s="37">
        <f t="shared" si="268"/>
        <v>300</v>
      </c>
      <c r="I303" s="37"/>
    </row>
    <row r="304" spans="1:9">
      <c r="A304" s="37" t="s">
        <v>1587</v>
      </c>
      <c r="B304" s="37" t="s">
        <v>1588</v>
      </c>
      <c r="C304" s="74">
        <f t="shared" ref="C304:E304" si="270">C286</f>
        <v>0</v>
      </c>
      <c r="D304" s="74">
        <f t="shared" si="270"/>
        <v>0</v>
      </c>
      <c r="E304" s="74">
        <f t="shared" si="270"/>
        <v>1</v>
      </c>
      <c r="F304" s="67" t="s">
        <v>230</v>
      </c>
      <c r="G304" s="67" t="s">
        <v>1052</v>
      </c>
      <c r="H304" s="37">
        <f t="shared" si="268"/>
        <v>301</v>
      </c>
      <c r="I304" s="37"/>
    </row>
    <row r="305" spans="1:9">
      <c r="A305" s="37" t="s">
        <v>1589</v>
      </c>
      <c r="B305" s="37" t="s">
        <v>1590</v>
      </c>
      <c r="C305" s="74">
        <f t="shared" ref="C305:E305" si="271">C287</f>
        <v>0</v>
      </c>
      <c r="D305" s="74">
        <f t="shared" si="271"/>
        <v>0</v>
      </c>
      <c r="E305" s="74">
        <f t="shared" si="271"/>
        <v>4</v>
      </c>
      <c r="F305" s="67" t="s">
        <v>230</v>
      </c>
      <c r="G305" s="67" t="s">
        <v>1052</v>
      </c>
      <c r="H305" s="37">
        <f t="shared" si="268"/>
        <v>302</v>
      </c>
      <c r="I305" s="37"/>
    </row>
    <row r="306" spans="1:9">
      <c r="A306" s="37" t="s">
        <v>1591</v>
      </c>
      <c r="B306" s="37" t="s">
        <v>1592</v>
      </c>
      <c r="C306" s="74" t="str">
        <f t="shared" ref="C306:E306" si="272">C288</f>
        <v>(空文字)</v>
      </c>
      <c r="D306" s="74" t="str">
        <f t="shared" si="272"/>
        <v>(空文字)</v>
      </c>
      <c r="E306" s="74" t="str">
        <f t="shared" si="272"/>
        <v>(空文字)</v>
      </c>
      <c r="F306" s="67" t="s">
        <v>230</v>
      </c>
      <c r="G306" s="67" t="s">
        <v>1052</v>
      </c>
      <c r="H306" s="37">
        <f t="shared" si="268"/>
        <v>303</v>
      </c>
      <c r="I306" s="37"/>
    </row>
    <row r="307" spans="1:9">
      <c r="A307" s="37" t="s">
        <v>1593</v>
      </c>
      <c r="B307" s="37" t="s">
        <v>1594</v>
      </c>
      <c r="C307" s="74" t="str">
        <f t="shared" ref="C307:E307" si="273">C289</f>
        <v>(空文字)</v>
      </c>
      <c r="D307" s="74" t="str">
        <f t="shared" si="273"/>
        <v>(空文字)</v>
      </c>
      <c r="E307" s="74" t="str">
        <f t="shared" si="273"/>
        <v>(空文字)</v>
      </c>
      <c r="F307" s="67" t="s">
        <v>230</v>
      </c>
      <c r="G307" s="67" t="s">
        <v>1052</v>
      </c>
      <c r="H307" s="37">
        <f t="shared" si="268"/>
        <v>304</v>
      </c>
      <c r="I307" s="37"/>
    </row>
    <row r="308" spans="1:9">
      <c r="A308" s="37" t="s">
        <v>1595</v>
      </c>
      <c r="B308" s="37" t="s">
        <v>1596</v>
      </c>
      <c r="C308" s="74">
        <f t="shared" ref="C308:E308" si="274">C290</f>
        <v>0</v>
      </c>
      <c r="D308" s="74">
        <f t="shared" si="274"/>
        <v>0</v>
      </c>
      <c r="E308" s="74">
        <f t="shared" si="274"/>
        <v>3</v>
      </c>
      <c r="F308" s="67" t="s">
        <v>230</v>
      </c>
      <c r="G308" s="67" t="s">
        <v>1052</v>
      </c>
      <c r="H308" s="37">
        <f t="shared" si="268"/>
        <v>305</v>
      </c>
      <c r="I308" s="37"/>
    </row>
    <row r="309" spans="1:9">
      <c r="A309" s="37" t="s">
        <v>3931</v>
      </c>
      <c r="B309" s="37" t="s">
        <v>3998</v>
      </c>
      <c r="C309" s="74">
        <f t="shared" ref="C309:E309" si="275">C291</f>
        <v>10000</v>
      </c>
      <c r="D309" s="74">
        <f t="shared" si="275"/>
        <v>1000</v>
      </c>
      <c r="E309" s="74">
        <f t="shared" si="275"/>
        <v>99999000</v>
      </c>
      <c r="F309" s="67" t="s">
        <v>230</v>
      </c>
      <c r="G309" s="67" t="s">
        <v>1052</v>
      </c>
      <c r="H309" s="37">
        <f t="shared" si="268"/>
        <v>306</v>
      </c>
      <c r="I309" s="37"/>
    </row>
    <row r="310" spans="1:9">
      <c r="A310" s="37" t="s">
        <v>4085</v>
      </c>
      <c r="B310" s="37" t="s">
        <v>3999</v>
      </c>
      <c r="C310" s="74">
        <f t="shared" ref="C310:E310" si="276">C292</f>
        <v>0</v>
      </c>
      <c r="D310" s="74">
        <f t="shared" si="276"/>
        <v>0</v>
      </c>
      <c r="E310" s="74">
        <f t="shared" si="276"/>
        <v>1</v>
      </c>
      <c r="F310" s="67" t="s">
        <v>230</v>
      </c>
      <c r="G310" s="67" t="s">
        <v>1052</v>
      </c>
      <c r="H310" s="37">
        <f t="shared" si="268"/>
        <v>307</v>
      </c>
      <c r="I310" s="37"/>
    </row>
    <row r="311" spans="1:9">
      <c r="A311" s="37" t="s">
        <v>1597</v>
      </c>
      <c r="B311" s="37" t="s">
        <v>1598</v>
      </c>
      <c r="C311" s="92">
        <f>C18</f>
        <v>201</v>
      </c>
      <c r="D311" s="74">
        <f t="shared" ref="D311:E311" si="277">D293</f>
        <v>1</v>
      </c>
      <c r="E311" s="74">
        <f t="shared" si="277"/>
        <v>4096</v>
      </c>
      <c r="F311" s="67" t="s">
        <v>230</v>
      </c>
      <c r="G311" s="67" t="s">
        <v>230</v>
      </c>
      <c r="H311" s="37">
        <f t="shared" si="268"/>
        <v>308</v>
      </c>
      <c r="I311" s="37"/>
    </row>
    <row r="312" spans="1:9">
      <c r="A312" s="37" t="s">
        <v>1599</v>
      </c>
      <c r="B312" s="37" t="s">
        <v>1600</v>
      </c>
      <c r="C312" s="74" t="str">
        <f t="shared" ref="C312:E312" si="278">C294</f>
        <v>0x00000000</v>
      </c>
      <c r="D312" s="74" t="str">
        <f t="shared" si="278"/>
        <v>0x80000000</v>
      </c>
      <c r="E312" s="74" t="str">
        <f t="shared" si="278"/>
        <v>0x7fffffff</v>
      </c>
      <c r="F312" s="67" t="s">
        <v>230</v>
      </c>
      <c r="G312" s="67" t="s">
        <v>1052</v>
      </c>
      <c r="H312" s="37">
        <f t="shared" si="268"/>
        <v>309</v>
      </c>
      <c r="I312" s="37"/>
    </row>
    <row r="313" spans="1:9">
      <c r="A313" s="37" t="s">
        <v>1601</v>
      </c>
      <c r="B313" s="37" t="s">
        <v>1602</v>
      </c>
      <c r="C313" s="74">
        <f t="shared" ref="C313:E313" si="279">C295</f>
        <v>0</v>
      </c>
      <c r="D313" s="74">
        <f t="shared" si="279"/>
        <v>0</v>
      </c>
      <c r="E313" s="74">
        <f t="shared" si="279"/>
        <v>65535</v>
      </c>
      <c r="F313" s="67" t="s">
        <v>230</v>
      </c>
      <c r="G313" s="67" t="s">
        <v>1052</v>
      </c>
      <c r="H313" s="37">
        <f t="shared" si="268"/>
        <v>310</v>
      </c>
      <c r="I313" s="37"/>
    </row>
    <row r="314" spans="1:9">
      <c r="A314" s="37" t="s">
        <v>1603</v>
      </c>
      <c r="B314" s="37" t="s">
        <v>1604</v>
      </c>
      <c r="C314" s="74">
        <f t="shared" ref="C314:E314" si="280">C296</f>
        <v>1</v>
      </c>
      <c r="D314" s="74">
        <f t="shared" si="280"/>
        <v>0</v>
      </c>
      <c r="E314" s="74">
        <f t="shared" si="280"/>
        <v>1</v>
      </c>
      <c r="F314" s="67" t="s">
        <v>230</v>
      </c>
      <c r="G314" s="67" t="s">
        <v>1052</v>
      </c>
      <c r="H314" s="37">
        <f t="shared" si="268"/>
        <v>311</v>
      </c>
      <c r="I314" s="37"/>
    </row>
    <row r="315" spans="1:9">
      <c r="A315" s="37" t="s">
        <v>1605</v>
      </c>
      <c r="B315" s="37" t="s">
        <v>1606</v>
      </c>
      <c r="C315" s="74">
        <f t="shared" ref="C315:E315" si="281">C297</f>
        <v>0</v>
      </c>
      <c r="D315" s="74">
        <f t="shared" si="281"/>
        <v>0</v>
      </c>
      <c r="E315" s="74">
        <f t="shared" si="281"/>
        <v>65535</v>
      </c>
      <c r="F315" s="67" t="s">
        <v>230</v>
      </c>
      <c r="G315" s="67" t="s">
        <v>1052</v>
      </c>
      <c r="H315" s="37">
        <f t="shared" si="268"/>
        <v>312</v>
      </c>
      <c r="I315" s="37"/>
    </row>
    <row r="316" spans="1:9">
      <c r="A316" s="37" t="s">
        <v>1607</v>
      </c>
      <c r="B316" s="37" t="s">
        <v>1608</v>
      </c>
      <c r="C316" s="74">
        <f t="shared" ref="C316:E316" si="282">C298</f>
        <v>0</v>
      </c>
      <c r="D316" s="74">
        <f t="shared" si="282"/>
        <v>0</v>
      </c>
      <c r="E316" s="74">
        <f t="shared" si="282"/>
        <v>1</v>
      </c>
      <c r="F316" s="67" t="s">
        <v>230</v>
      </c>
      <c r="G316" s="67" t="s">
        <v>1052</v>
      </c>
      <c r="H316" s="37">
        <f t="shared" si="268"/>
        <v>313</v>
      </c>
      <c r="I316" s="37"/>
    </row>
    <row r="317" spans="1:9">
      <c r="A317" s="37" t="s">
        <v>1609</v>
      </c>
      <c r="B317" s="37" t="s">
        <v>1610</v>
      </c>
      <c r="C317" s="74">
        <f t="shared" ref="C317:E317" si="283">C299</f>
        <v>1</v>
      </c>
      <c r="D317" s="74">
        <f t="shared" si="283"/>
        <v>0</v>
      </c>
      <c r="E317" s="74">
        <f t="shared" si="283"/>
        <v>2</v>
      </c>
      <c r="F317" s="67" t="s">
        <v>230</v>
      </c>
      <c r="G317" s="67" t="s">
        <v>1052</v>
      </c>
      <c r="H317" s="37">
        <f t="shared" si="268"/>
        <v>314</v>
      </c>
      <c r="I317" s="37"/>
    </row>
    <row r="318" spans="1:9">
      <c r="A318" s="37" t="s">
        <v>1611</v>
      </c>
      <c r="B318" s="37" t="s">
        <v>1612</v>
      </c>
      <c r="C318" s="74">
        <f t="shared" ref="C318:E318" si="284">C300</f>
        <v>0</v>
      </c>
      <c r="D318" s="74">
        <f t="shared" si="284"/>
        <v>0</v>
      </c>
      <c r="E318" s="74">
        <f t="shared" si="284"/>
        <v>3</v>
      </c>
      <c r="F318" s="67" t="s">
        <v>230</v>
      </c>
      <c r="G318" s="67" t="s">
        <v>1052</v>
      </c>
      <c r="H318" s="37">
        <f t="shared" si="268"/>
        <v>315</v>
      </c>
      <c r="I318" s="37"/>
    </row>
    <row r="319" spans="1:9">
      <c r="A319" s="37" t="s">
        <v>1613</v>
      </c>
      <c r="B319" s="37" t="s">
        <v>1614</v>
      </c>
      <c r="C319" s="74">
        <f t="shared" ref="C319:E319" si="285">C301</f>
        <v>0</v>
      </c>
      <c r="D319" s="74">
        <f t="shared" si="285"/>
        <v>0</v>
      </c>
      <c r="E319" s="74">
        <f t="shared" si="285"/>
        <v>3</v>
      </c>
      <c r="F319" s="67" t="s">
        <v>230</v>
      </c>
      <c r="G319" s="67" t="s">
        <v>1052</v>
      </c>
      <c r="H319" s="37">
        <f t="shared" si="268"/>
        <v>316</v>
      </c>
      <c r="I319" s="37"/>
    </row>
    <row r="320" spans="1:9">
      <c r="A320" s="37" t="s">
        <v>1615</v>
      </c>
      <c r="B320" s="37" t="s">
        <v>1616</v>
      </c>
      <c r="C320" s="74">
        <f t="shared" ref="C320:E320" si="286">C302</f>
        <v>0</v>
      </c>
      <c r="D320" s="74">
        <f t="shared" si="286"/>
        <v>0</v>
      </c>
      <c r="E320" s="74">
        <f t="shared" si="286"/>
        <v>3</v>
      </c>
      <c r="F320" s="67" t="s">
        <v>230</v>
      </c>
      <c r="G320" s="67" t="s">
        <v>1052</v>
      </c>
      <c r="H320" s="37">
        <f t="shared" si="268"/>
        <v>317</v>
      </c>
      <c r="I320" s="37"/>
    </row>
    <row r="321" spans="1:9">
      <c r="A321" s="37" t="s">
        <v>1617</v>
      </c>
      <c r="B321" s="37" t="s">
        <v>2670</v>
      </c>
      <c r="C321" s="74">
        <f t="shared" ref="C321:E321" si="287">C303</f>
        <v>0</v>
      </c>
      <c r="D321" s="74">
        <f t="shared" si="287"/>
        <v>0</v>
      </c>
      <c r="E321" s="74">
        <f t="shared" si="287"/>
        <v>1</v>
      </c>
      <c r="F321" s="67" t="s">
        <v>230</v>
      </c>
      <c r="G321" s="67" t="s">
        <v>1052</v>
      </c>
      <c r="H321" s="37">
        <f t="shared" si="268"/>
        <v>318</v>
      </c>
      <c r="I321" s="37"/>
    </row>
    <row r="322" spans="1:9">
      <c r="A322" s="37" t="s">
        <v>1618</v>
      </c>
      <c r="B322" s="37" t="s">
        <v>1619</v>
      </c>
      <c r="C322" s="74">
        <f t="shared" ref="C322:E322" si="288">C304</f>
        <v>0</v>
      </c>
      <c r="D322" s="74">
        <f t="shared" si="288"/>
        <v>0</v>
      </c>
      <c r="E322" s="74">
        <f t="shared" si="288"/>
        <v>1</v>
      </c>
      <c r="F322" s="67" t="s">
        <v>230</v>
      </c>
      <c r="G322" s="67" t="s">
        <v>1052</v>
      </c>
      <c r="H322" s="37">
        <f t="shared" si="268"/>
        <v>319</v>
      </c>
      <c r="I322" s="37"/>
    </row>
    <row r="323" spans="1:9">
      <c r="A323" s="37" t="s">
        <v>1620</v>
      </c>
      <c r="B323" s="37" t="s">
        <v>1621</v>
      </c>
      <c r="C323" s="74">
        <f t="shared" ref="C323:E323" si="289">C305</f>
        <v>0</v>
      </c>
      <c r="D323" s="74">
        <f t="shared" si="289"/>
        <v>0</v>
      </c>
      <c r="E323" s="74">
        <f t="shared" si="289"/>
        <v>4</v>
      </c>
      <c r="F323" s="67" t="s">
        <v>230</v>
      </c>
      <c r="G323" s="67" t="s">
        <v>1052</v>
      </c>
      <c r="H323" s="37">
        <f t="shared" si="268"/>
        <v>320</v>
      </c>
      <c r="I323" s="37"/>
    </row>
    <row r="324" spans="1:9">
      <c r="A324" s="37" t="s">
        <v>1622</v>
      </c>
      <c r="B324" s="37" t="s">
        <v>1623</v>
      </c>
      <c r="C324" s="74" t="str">
        <f t="shared" ref="C324:E324" si="290">C306</f>
        <v>(空文字)</v>
      </c>
      <c r="D324" s="74" t="str">
        <f t="shared" si="290"/>
        <v>(空文字)</v>
      </c>
      <c r="E324" s="74" t="str">
        <f t="shared" si="290"/>
        <v>(空文字)</v>
      </c>
      <c r="F324" s="67" t="s">
        <v>230</v>
      </c>
      <c r="G324" s="67" t="s">
        <v>1052</v>
      </c>
      <c r="H324" s="37">
        <f t="shared" si="268"/>
        <v>321</v>
      </c>
      <c r="I324" s="37"/>
    </row>
    <row r="325" spans="1:9">
      <c r="A325" s="37" t="s">
        <v>1624</v>
      </c>
      <c r="B325" s="37" t="s">
        <v>1625</v>
      </c>
      <c r="C325" s="74" t="str">
        <f t="shared" ref="C325:E325" si="291">C307</f>
        <v>(空文字)</v>
      </c>
      <c r="D325" s="74" t="str">
        <f t="shared" si="291"/>
        <v>(空文字)</v>
      </c>
      <c r="E325" s="74" t="str">
        <f t="shared" si="291"/>
        <v>(空文字)</v>
      </c>
      <c r="F325" s="67" t="s">
        <v>230</v>
      </c>
      <c r="G325" s="67" t="s">
        <v>1052</v>
      </c>
      <c r="H325" s="37">
        <f t="shared" si="268"/>
        <v>322</v>
      </c>
      <c r="I325" s="37"/>
    </row>
    <row r="326" spans="1:9">
      <c r="A326" s="37" t="s">
        <v>1626</v>
      </c>
      <c r="B326" s="37" t="s">
        <v>1627</v>
      </c>
      <c r="C326" s="74">
        <f t="shared" ref="C326:E326" si="292">C308</f>
        <v>0</v>
      </c>
      <c r="D326" s="74">
        <f t="shared" si="292"/>
        <v>0</v>
      </c>
      <c r="E326" s="74">
        <f t="shared" si="292"/>
        <v>3</v>
      </c>
      <c r="F326" s="67" t="s">
        <v>230</v>
      </c>
      <c r="G326" s="67" t="s">
        <v>1052</v>
      </c>
      <c r="H326" s="37">
        <f t="shared" si="268"/>
        <v>323</v>
      </c>
      <c r="I326" s="37"/>
    </row>
    <row r="327" spans="1:9">
      <c r="A327" s="37" t="s">
        <v>3932</v>
      </c>
      <c r="B327" s="37" t="s">
        <v>4000</v>
      </c>
      <c r="C327" s="74">
        <f t="shared" ref="C327:E327" si="293">C309</f>
        <v>10000</v>
      </c>
      <c r="D327" s="74">
        <f t="shared" si="293"/>
        <v>1000</v>
      </c>
      <c r="E327" s="74">
        <f t="shared" si="293"/>
        <v>99999000</v>
      </c>
      <c r="F327" s="67" t="s">
        <v>230</v>
      </c>
      <c r="G327" s="67" t="s">
        <v>1052</v>
      </c>
      <c r="H327" s="37">
        <f t="shared" si="268"/>
        <v>324</v>
      </c>
      <c r="I327" s="37"/>
    </row>
    <row r="328" spans="1:9">
      <c r="A328" s="37" t="s">
        <v>4086</v>
      </c>
      <c r="B328" s="37" t="s">
        <v>4001</v>
      </c>
      <c r="C328" s="74">
        <f t="shared" ref="C328:E328" si="294">C310</f>
        <v>0</v>
      </c>
      <c r="D328" s="74">
        <f t="shared" si="294"/>
        <v>0</v>
      </c>
      <c r="E328" s="74">
        <f t="shared" si="294"/>
        <v>1</v>
      </c>
      <c r="F328" s="67" t="s">
        <v>230</v>
      </c>
      <c r="G328" s="67" t="s">
        <v>1052</v>
      </c>
      <c r="H328" s="37">
        <f t="shared" si="268"/>
        <v>325</v>
      </c>
      <c r="I328" s="37"/>
    </row>
    <row r="329" spans="1:9">
      <c r="A329" s="37" t="s">
        <v>1628</v>
      </c>
      <c r="B329" s="37" t="s">
        <v>1629</v>
      </c>
      <c r="C329" s="92">
        <f t="shared" ref="C329" si="295">C311+1</f>
        <v>202</v>
      </c>
      <c r="D329" s="74">
        <f t="shared" ref="D329:E329" si="296">D311</f>
        <v>1</v>
      </c>
      <c r="E329" s="74">
        <f t="shared" si="296"/>
        <v>4096</v>
      </c>
      <c r="F329" s="67" t="s">
        <v>230</v>
      </c>
      <c r="G329" s="67" t="s">
        <v>230</v>
      </c>
      <c r="H329" s="37">
        <f t="shared" si="268"/>
        <v>326</v>
      </c>
      <c r="I329" s="37"/>
    </row>
    <row r="330" spans="1:9">
      <c r="A330" s="37" t="s">
        <v>1630</v>
      </c>
      <c r="B330" s="37" t="s">
        <v>1631</v>
      </c>
      <c r="C330" s="74" t="str">
        <f t="shared" ref="C330:E330" si="297">C312</f>
        <v>0x00000000</v>
      </c>
      <c r="D330" s="74" t="str">
        <f t="shared" si="297"/>
        <v>0x80000000</v>
      </c>
      <c r="E330" s="74" t="str">
        <f t="shared" si="297"/>
        <v>0x7fffffff</v>
      </c>
      <c r="F330" s="67" t="s">
        <v>230</v>
      </c>
      <c r="G330" s="67" t="s">
        <v>1052</v>
      </c>
      <c r="H330" s="37">
        <f t="shared" si="268"/>
        <v>327</v>
      </c>
      <c r="I330" s="37"/>
    </row>
    <row r="331" spans="1:9">
      <c r="A331" s="37" t="s">
        <v>1632</v>
      </c>
      <c r="B331" s="37" t="s">
        <v>1633</v>
      </c>
      <c r="C331" s="74">
        <f t="shared" ref="C331:E331" si="298">C313</f>
        <v>0</v>
      </c>
      <c r="D331" s="74">
        <f t="shared" si="298"/>
        <v>0</v>
      </c>
      <c r="E331" s="74">
        <f t="shared" si="298"/>
        <v>65535</v>
      </c>
      <c r="F331" s="67" t="s">
        <v>230</v>
      </c>
      <c r="G331" s="67" t="s">
        <v>1052</v>
      </c>
      <c r="H331" s="37">
        <f t="shared" si="268"/>
        <v>328</v>
      </c>
      <c r="I331" s="37"/>
    </row>
    <row r="332" spans="1:9">
      <c r="A332" s="37" t="s">
        <v>1634</v>
      </c>
      <c r="B332" s="37" t="s">
        <v>1635</v>
      </c>
      <c r="C332" s="74">
        <f t="shared" ref="C332:E332" si="299">C314</f>
        <v>1</v>
      </c>
      <c r="D332" s="74">
        <f t="shared" si="299"/>
        <v>0</v>
      </c>
      <c r="E332" s="74">
        <f t="shared" si="299"/>
        <v>1</v>
      </c>
      <c r="F332" s="67" t="s">
        <v>230</v>
      </c>
      <c r="G332" s="67" t="s">
        <v>1052</v>
      </c>
      <c r="H332" s="37">
        <f t="shared" si="268"/>
        <v>329</v>
      </c>
      <c r="I332" s="37"/>
    </row>
    <row r="333" spans="1:9">
      <c r="A333" s="37" t="s">
        <v>1636</v>
      </c>
      <c r="B333" s="37" t="s">
        <v>1637</v>
      </c>
      <c r="C333" s="74">
        <f t="shared" ref="C333:E333" si="300">C315</f>
        <v>0</v>
      </c>
      <c r="D333" s="74">
        <f t="shared" si="300"/>
        <v>0</v>
      </c>
      <c r="E333" s="74">
        <f t="shared" si="300"/>
        <v>65535</v>
      </c>
      <c r="F333" s="67" t="s">
        <v>230</v>
      </c>
      <c r="G333" s="67" t="s">
        <v>1052</v>
      </c>
      <c r="H333" s="37">
        <f t="shared" si="268"/>
        <v>330</v>
      </c>
      <c r="I333" s="37"/>
    </row>
    <row r="334" spans="1:9">
      <c r="A334" s="37" t="s">
        <v>1638</v>
      </c>
      <c r="B334" s="37" t="s">
        <v>1639</v>
      </c>
      <c r="C334" s="74">
        <f t="shared" ref="C334:E334" si="301">C316</f>
        <v>0</v>
      </c>
      <c r="D334" s="74">
        <f t="shared" si="301"/>
        <v>0</v>
      </c>
      <c r="E334" s="74">
        <f t="shared" si="301"/>
        <v>1</v>
      </c>
      <c r="F334" s="67" t="s">
        <v>230</v>
      </c>
      <c r="G334" s="67" t="s">
        <v>1052</v>
      </c>
      <c r="H334" s="37">
        <f t="shared" si="268"/>
        <v>331</v>
      </c>
      <c r="I334" s="37"/>
    </row>
    <row r="335" spans="1:9">
      <c r="A335" s="37" t="s">
        <v>1640</v>
      </c>
      <c r="B335" s="37" t="s">
        <v>1641</v>
      </c>
      <c r="C335" s="74">
        <f t="shared" ref="C335:E335" si="302">C317</f>
        <v>1</v>
      </c>
      <c r="D335" s="74">
        <f t="shared" si="302"/>
        <v>0</v>
      </c>
      <c r="E335" s="74">
        <f t="shared" si="302"/>
        <v>2</v>
      </c>
      <c r="F335" s="67" t="s">
        <v>230</v>
      </c>
      <c r="G335" s="67" t="s">
        <v>1052</v>
      </c>
      <c r="H335" s="37">
        <f t="shared" si="268"/>
        <v>332</v>
      </c>
      <c r="I335" s="37"/>
    </row>
    <row r="336" spans="1:9">
      <c r="A336" s="37" t="s">
        <v>1642</v>
      </c>
      <c r="B336" s="37" t="s">
        <v>1643</v>
      </c>
      <c r="C336" s="74">
        <f t="shared" ref="C336:E336" si="303">C318</f>
        <v>0</v>
      </c>
      <c r="D336" s="74">
        <f t="shared" si="303"/>
        <v>0</v>
      </c>
      <c r="E336" s="74">
        <f t="shared" si="303"/>
        <v>3</v>
      </c>
      <c r="F336" s="67" t="s">
        <v>230</v>
      </c>
      <c r="G336" s="67" t="s">
        <v>1052</v>
      </c>
      <c r="H336" s="37">
        <f t="shared" si="268"/>
        <v>333</v>
      </c>
      <c r="I336" s="37"/>
    </row>
    <row r="337" spans="1:9">
      <c r="A337" s="37" t="s">
        <v>1644</v>
      </c>
      <c r="B337" s="37" t="s">
        <v>1645</v>
      </c>
      <c r="C337" s="74">
        <f t="shared" ref="C337:E337" si="304">C319</f>
        <v>0</v>
      </c>
      <c r="D337" s="74">
        <f t="shared" si="304"/>
        <v>0</v>
      </c>
      <c r="E337" s="74">
        <f t="shared" si="304"/>
        <v>3</v>
      </c>
      <c r="F337" s="67" t="s">
        <v>230</v>
      </c>
      <c r="G337" s="67" t="s">
        <v>1052</v>
      </c>
      <c r="H337" s="37">
        <f t="shared" si="268"/>
        <v>334</v>
      </c>
      <c r="I337" s="37"/>
    </row>
    <row r="338" spans="1:9">
      <c r="A338" s="37" t="s">
        <v>1646</v>
      </c>
      <c r="B338" s="37" t="s">
        <v>1647</v>
      </c>
      <c r="C338" s="74">
        <f t="shared" ref="C338:E338" si="305">C320</f>
        <v>0</v>
      </c>
      <c r="D338" s="74">
        <f t="shared" si="305"/>
        <v>0</v>
      </c>
      <c r="E338" s="74">
        <f t="shared" si="305"/>
        <v>3</v>
      </c>
      <c r="F338" s="67" t="s">
        <v>230</v>
      </c>
      <c r="G338" s="67" t="s">
        <v>1052</v>
      </c>
      <c r="H338" s="37">
        <f t="shared" si="268"/>
        <v>335</v>
      </c>
      <c r="I338" s="37"/>
    </row>
    <row r="339" spans="1:9">
      <c r="A339" s="37" t="s">
        <v>1648</v>
      </c>
      <c r="B339" s="37" t="s">
        <v>2671</v>
      </c>
      <c r="C339" s="74">
        <f t="shared" ref="C339:E339" si="306">C321</f>
        <v>0</v>
      </c>
      <c r="D339" s="74">
        <f t="shared" si="306"/>
        <v>0</v>
      </c>
      <c r="E339" s="74">
        <f t="shared" si="306"/>
        <v>1</v>
      </c>
      <c r="F339" s="67" t="s">
        <v>230</v>
      </c>
      <c r="G339" s="67" t="s">
        <v>1052</v>
      </c>
      <c r="H339" s="37">
        <f t="shared" si="268"/>
        <v>336</v>
      </c>
      <c r="I339" s="37"/>
    </row>
    <row r="340" spans="1:9">
      <c r="A340" s="37" t="s">
        <v>1649</v>
      </c>
      <c r="B340" s="37" t="s">
        <v>1650</v>
      </c>
      <c r="C340" s="74">
        <f t="shared" ref="C340:E340" si="307">C322</f>
        <v>0</v>
      </c>
      <c r="D340" s="74">
        <f t="shared" si="307"/>
        <v>0</v>
      </c>
      <c r="E340" s="74">
        <f t="shared" si="307"/>
        <v>1</v>
      </c>
      <c r="F340" s="67" t="s">
        <v>230</v>
      </c>
      <c r="G340" s="67" t="s">
        <v>1052</v>
      </c>
      <c r="H340" s="37">
        <f t="shared" si="268"/>
        <v>337</v>
      </c>
      <c r="I340" s="37"/>
    </row>
    <row r="341" spans="1:9">
      <c r="A341" s="37" t="s">
        <v>1651</v>
      </c>
      <c r="B341" s="37" t="s">
        <v>1652</v>
      </c>
      <c r="C341" s="74">
        <f t="shared" ref="C341:E341" si="308">C323</f>
        <v>0</v>
      </c>
      <c r="D341" s="74">
        <f t="shared" si="308"/>
        <v>0</v>
      </c>
      <c r="E341" s="74">
        <f t="shared" si="308"/>
        <v>4</v>
      </c>
      <c r="F341" s="67" t="s">
        <v>230</v>
      </c>
      <c r="G341" s="67" t="s">
        <v>1052</v>
      </c>
      <c r="H341" s="37">
        <f t="shared" si="268"/>
        <v>338</v>
      </c>
      <c r="I341" s="37"/>
    </row>
    <row r="342" spans="1:9">
      <c r="A342" s="37" t="s">
        <v>1653</v>
      </c>
      <c r="B342" s="37" t="s">
        <v>1654</v>
      </c>
      <c r="C342" s="74" t="str">
        <f t="shared" ref="C342:E342" si="309">C324</f>
        <v>(空文字)</v>
      </c>
      <c r="D342" s="74" t="str">
        <f t="shared" si="309"/>
        <v>(空文字)</v>
      </c>
      <c r="E342" s="74" t="str">
        <f t="shared" si="309"/>
        <v>(空文字)</v>
      </c>
      <c r="F342" s="67" t="s">
        <v>230</v>
      </c>
      <c r="G342" s="67" t="s">
        <v>1052</v>
      </c>
      <c r="H342" s="37">
        <f t="shared" si="268"/>
        <v>339</v>
      </c>
      <c r="I342" s="37"/>
    </row>
    <row r="343" spans="1:9">
      <c r="A343" s="37" t="s">
        <v>1655</v>
      </c>
      <c r="B343" s="37" t="s">
        <v>1656</v>
      </c>
      <c r="C343" s="74" t="str">
        <f t="shared" ref="C343:E343" si="310">C325</f>
        <v>(空文字)</v>
      </c>
      <c r="D343" s="74" t="str">
        <f t="shared" si="310"/>
        <v>(空文字)</v>
      </c>
      <c r="E343" s="74" t="str">
        <f t="shared" si="310"/>
        <v>(空文字)</v>
      </c>
      <c r="F343" s="67" t="s">
        <v>230</v>
      </c>
      <c r="G343" s="67" t="s">
        <v>1052</v>
      </c>
      <c r="H343" s="37">
        <f t="shared" si="268"/>
        <v>340</v>
      </c>
      <c r="I343" s="37"/>
    </row>
    <row r="344" spans="1:9">
      <c r="A344" s="37" t="s">
        <v>1657</v>
      </c>
      <c r="B344" s="37" t="s">
        <v>1658</v>
      </c>
      <c r="C344" s="74">
        <f t="shared" ref="C344:E344" si="311">C326</f>
        <v>0</v>
      </c>
      <c r="D344" s="74">
        <f t="shared" si="311"/>
        <v>0</v>
      </c>
      <c r="E344" s="74">
        <f t="shared" si="311"/>
        <v>3</v>
      </c>
      <c r="F344" s="67" t="s">
        <v>230</v>
      </c>
      <c r="G344" s="67" t="s">
        <v>1052</v>
      </c>
      <c r="H344" s="37">
        <f t="shared" si="268"/>
        <v>341</v>
      </c>
      <c r="I344" s="37"/>
    </row>
    <row r="345" spans="1:9">
      <c r="A345" s="37" t="s">
        <v>3933</v>
      </c>
      <c r="B345" s="37" t="s">
        <v>4002</v>
      </c>
      <c r="C345" s="74">
        <f t="shared" ref="C345:E345" si="312">C327</f>
        <v>10000</v>
      </c>
      <c r="D345" s="74">
        <f t="shared" si="312"/>
        <v>1000</v>
      </c>
      <c r="E345" s="74">
        <f t="shared" si="312"/>
        <v>99999000</v>
      </c>
      <c r="F345" s="67" t="s">
        <v>230</v>
      </c>
      <c r="G345" s="67" t="s">
        <v>1052</v>
      </c>
      <c r="H345" s="37">
        <f t="shared" si="268"/>
        <v>342</v>
      </c>
      <c r="I345" s="37"/>
    </row>
    <row r="346" spans="1:9">
      <c r="A346" s="37" t="s">
        <v>4087</v>
      </c>
      <c r="B346" s="37" t="s">
        <v>4003</v>
      </c>
      <c r="C346" s="74">
        <f t="shared" ref="C346:E346" si="313">C328</f>
        <v>0</v>
      </c>
      <c r="D346" s="74">
        <f t="shared" si="313"/>
        <v>0</v>
      </c>
      <c r="E346" s="74">
        <f t="shared" si="313"/>
        <v>1</v>
      </c>
      <c r="F346" s="67" t="s">
        <v>230</v>
      </c>
      <c r="G346" s="67" t="s">
        <v>1052</v>
      </c>
      <c r="H346" s="37">
        <f t="shared" si="268"/>
        <v>343</v>
      </c>
      <c r="I346" s="37"/>
    </row>
    <row r="347" spans="1:9">
      <c r="A347" s="37" t="s">
        <v>1659</v>
      </c>
      <c r="B347" s="37" t="s">
        <v>1660</v>
      </c>
      <c r="C347" s="92">
        <f t="shared" ref="C347:C401" si="314">C329+1</f>
        <v>203</v>
      </c>
      <c r="D347" s="74">
        <f t="shared" ref="D347:E347" si="315">D329</f>
        <v>1</v>
      </c>
      <c r="E347" s="74">
        <f t="shared" si="315"/>
        <v>4096</v>
      </c>
      <c r="F347" s="67" t="s">
        <v>230</v>
      </c>
      <c r="G347" s="67" t="s">
        <v>230</v>
      </c>
      <c r="H347" s="37">
        <f t="shared" si="268"/>
        <v>344</v>
      </c>
      <c r="I347" s="37"/>
    </row>
    <row r="348" spans="1:9">
      <c r="A348" s="37" t="s">
        <v>1661</v>
      </c>
      <c r="B348" s="37" t="s">
        <v>1662</v>
      </c>
      <c r="C348" s="74" t="str">
        <f t="shared" ref="C348:E348" si="316">C330</f>
        <v>0x00000000</v>
      </c>
      <c r="D348" s="74" t="str">
        <f t="shared" si="316"/>
        <v>0x80000000</v>
      </c>
      <c r="E348" s="74" t="str">
        <f t="shared" si="316"/>
        <v>0x7fffffff</v>
      </c>
      <c r="F348" s="67" t="s">
        <v>230</v>
      </c>
      <c r="G348" s="67" t="s">
        <v>1052</v>
      </c>
      <c r="H348" s="37">
        <f t="shared" si="268"/>
        <v>345</v>
      </c>
      <c r="I348" s="37"/>
    </row>
    <row r="349" spans="1:9">
      <c r="A349" s="37" t="s">
        <v>1663</v>
      </c>
      <c r="B349" s="37" t="s">
        <v>1664</v>
      </c>
      <c r="C349" s="74">
        <f t="shared" ref="C349:E349" si="317">C331</f>
        <v>0</v>
      </c>
      <c r="D349" s="74">
        <f t="shared" si="317"/>
        <v>0</v>
      </c>
      <c r="E349" s="74">
        <f t="shared" si="317"/>
        <v>65535</v>
      </c>
      <c r="F349" s="67" t="s">
        <v>230</v>
      </c>
      <c r="G349" s="67" t="s">
        <v>1052</v>
      </c>
      <c r="H349" s="37">
        <f t="shared" si="268"/>
        <v>346</v>
      </c>
      <c r="I349" s="37"/>
    </row>
    <row r="350" spans="1:9">
      <c r="A350" s="37" t="s">
        <v>1665</v>
      </c>
      <c r="B350" s="37" t="s">
        <v>1666</v>
      </c>
      <c r="C350" s="74">
        <f t="shared" ref="C350:E350" si="318">C332</f>
        <v>1</v>
      </c>
      <c r="D350" s="74">
        <f t="shared" si="318"/>
        <v>0</v>
      </c>
      <c r="E350" s="74">
        <f t="shared" si="318"/>
        <v>1</v>
      </c>
      <c r="F350" s="67" t="s">
        <v>230</v>
      </c>
      <c r="G350" s="67" t="s">
        <v>1052</v>
      </c>
      <c r="H350" s="37">
        <f t="shared" si="268"/>
        <v>347</v>
      </c>
      <c r="I350" s="37"/>
    </row>
    <row r="351" spans="1:9">
      <c r="A351" s="37" t="s">
        <v>1667</v>
      </c>
      <c r="B351" s="37" t="s">
        <v>1668</v>
      </c>
      <c r="C351" s="74">
        <f t="shared" ref="C351:E351" si="319">C333</f>
        <v>0</v>
      </c>
      <c r="D351" s="74">
        <f t="shared" si="319"/>
        <v>0</v>
      </c>
      <c r="E351" s="74">
        <f t="shared" si="319"/>
        <v>65535</v>
      </c>
      <c r="F351" s="67" t="s">
        <v>230</v>
      </c>
      <c r="G351" s="67" t="s">
        <v>1052</v>
      </c>
      <c r="H351" s="37">
        <f t="shared" si="268"/>
        <v>348</v>
      </c>
      <c r="I351" s="37"/>
    </row>
    <row r="352" spans="1:9">
      <c r="A352" s="37" t="s">
        <v>1669</v>
      </c>
      <c r="B352" s="37" t="s">
        <v>1670</v>
      </c>
      <c r="C352" s="74">
        <f t="shared" ref="C352:E352" si="320">C334</f>
        <v>0</v>
      </c>
      <c r="D352" s="74">
        <f t="shared" si="320"/>
        <v>0</v>
      </c>
      <c r="E352" s="74">
        <f t="shared" si="320"/>
        <v>1</v>
      </c>
      <c r="F352" s="67" t="s">
        <v>230</v>
      </c>
      <c r="G352" s="67" t="s">
        <v>1052</v>
      </c>
      <c r="H352" s="37">
        <f t="shared" si="268"/>
        <v>349</v>
      </c>
      <c r="I352" s="37"/>
    </row>
    <row r="353" spans="1:9">
      <c r="A353" s="37" t="s">
        <v>1671</v>
      </c>
      <c r="B353" s="37" t="s">
        <v>1672</v>
      </c>
      <c r="C353" s="74">
        <f t="shared" ref="C353:E353" si="321">C335</f>
        <v>1</v>
      </c>
      <c r="D353" s="74">
        <f t="shared" si="321"/>
        <v>0</v>
      </c>
      <c r="E353" s="74">
        <f t="shared" si="321"/>
        <v>2</v>
      </c>
      <c r="F353" s="67" t="s">
        <v>230</v>
      </c>
      <c r="G353" s="67" t="s">
        <v>1052</v>
      </c>
      <c r="H353" s="37">
        <f t="shared" si="268"/>
        <v>350</v>
      </c>
      <c r="I353" s="37"/>
    </row>
    <row r="354" spans="1:9">
      <c r="A354" s="37" t="s">
        <v>1673</v>
      </c>
      <c r="B354" s="37" t="s">
        <v>1674</v>
      </c>
      <c r="C354" s="74">
        <f t="shared" ref="C354:E354" si="322">C336</f>
        <v>0</v>
      </c>
      <c r="D354" s="74">
        <f t="shared" si="322"/>
        <v>0</v>
      </c>
      <c r="E354" s="74">
        <f t="shared" si="322"/>
        <v>3</v>
      </c>
      <c r="F354" s="67" t="s">
        <v>230</v>
      </c>
      <c r="G354" s="67" t="s">
        <v>1052</v>
      </c>
      <c r="H354" s="37">
        <f t="shared" si="268"/>
        <v>351</v>
      </c>
      <c r="I354" s="37"/>
    </row>
    <row r="355" spans="1:9">
      <c r="A355" s="37" t="s">
        <v>1675</v>
      </c>
      <c r="B355" s="37" t="s">
        <v>1676</v>
      </c>
      <c r="C355" s="74">
        <f t="shared" ref="C355:E355" si="323">C337</f>
        <v>0</v>
      </c>
      <c r="D355" s="74">
        <f t="shared" si="323"/>
        <v>0</v>
      </c>
      <c r="E355" s="74">
        <f t="shared" si="323"/>
        <v>3</v>
      </c>
      <c r="F355" s="67" t="s">
        <v>230</v>
      </c>
      <c r="G355" s="67" t="s">
        <v>1052</v>
      </c>
      <c r="H355" s="37">
        <f t="shared" si="268"/>
        <v>352</v>
      </c>
      <c r="I355" s="37"/>
    </row>
    <row r="356" spans="1:9">
      <c r="A356" s="37" t="s">
        <v>1677</v>
      </c>
      <c r="B356" s="37" t="s">
        <v>1678</v>
      </c>
      <c r="C356" s="74">
        <f t="shared" ref="C356:E356" si="324">C338</f>
        <v>0</v>
      </c>
      <c r="D356" s="74">
        <f t="shared" si="324"/>
        <v>0</v>
      </c>
      <c r="E356" s="74">
        <f t="shared" si="324"/>
        <v>3</v>
      </c>
      <c r="F356" s="67" t="s">
        <v>230</v>
      </c>
      <c r="G356" s="67" t="s">
        <v>1052</v>
      </c>
      <c r="H356" s="37">
        <f t="shared" si="268"/>
        <v>353</v>
      </c>
      <c r="I356" s="37"/>
    </row>
    <row r="357" spans="1:9">
      <c r="A357" s="37" t="s">
        <v>1679</v>
      </c>
      <c r="B357" s="37" t="s">
        <v>2672</v>
      </c>
      <c r="C357" s="74">
        <f t="shared" ref="C357:E357" si="325">C339</f>
        <v>0</v>
      </c>
      <c r="D357" s="74">
        <f t="shared" si="325"/>
        <v>0</v>
      </c>
      <c r="E357" s="74">
        <f t="shared" si="325"/>
        <v>1</v>
      </c>
      <c r="F357" s="67" t="s">
        <v>230</v>
      </c>
      <c r="G357" s="67" t="s">
        <v>1052</v>
      </c>
      <c r="H357" s="37">
        <f t="shared" si="268"/>
        <v>354</v>
      </c>
      <c r="I357" s="37"/>
    </row>
    <row r="358" spans="1:9">
      <c r="A358" s="37" t="s">
        <v>1680</v>
      </c>
      <c r="B358" s="37" t="s">
        <v>1681</v>
      </c>
      <c r="C358" s="74">
        <f t="shared" ref="C358:E358" si="326">C340</f>
        <v>0</v>
      </c>
      <c r="D358" s="74">
        <f t="shared" si="326"/>
        <v>0</v>
      </c>
      <c r="E358" s="74">
        <f t="shared" si="326"/>
        <v>1</v>
      </c>
      <c r="F358" s="67" t="s">
        <v>230</v>
      </c>
      <c r="G358" s="67" t="s">
        <v>1052</v>
      </c>
      <c r="H358" s="37">
        <f t="shared" si="268"/>
        <v>355</v>
      </c>
      <c r="I358" s="37"/>
    </row>
    <row r="359" spans="1:9">
      <c r="A359" s="37" t="s">
        <v>1682</v>
      </c>
      <c r="B359" s="37" t="s">
        <v>1683</v>
      </c>
      <c r="C359" s="74">
        <f t="shared" ref="C359:E359" si="327">C341</f>
        <v>0</v>
      </c>
      <c r="D359" s="74">
        <f t="shared" si="327"/>
        <v>0</v>
      </c>
      <c r="E359" s="74">
        <f t="shared" si="327"/>
        <v>4</v>
      </c>
      <c r="F359" s="67" t="s">
        <v>230</v>
      </c>
      <c r="G359" s="67" t="s">
        <v>1052</v>
      </c>
      <c r="H359" s="37">
        <f t="shared" si="268"/>
        <v>356</v>
      </c>
      <c r="I359" s="37"/>
    </row>
    <row r="360" spans="1:9">
      <c r="A360" s="37" t="s">
        <v>1684</v>
      </c>
      <c r="B360" s="37" t="s">
        <v>1685</v>
      </c>
      <c r="C360" s="74" t="str">
        <f t="shared" ref="C360:E360" si="328">C342</f>
        <v>(空文字)</v>
      </c>
      <c r="D360" s="74" t="str">
        <f t="shared" si="328"/>
        <v>(空文字)</v>
      </c>
      <c r="E360" s="74" t="str">
        <f t="shared" si="328"/>
        <v>(空文字)</v>
      </c>
      <c r="F360" s="67" t="s">
        <v>230</v>
      </c>
      <c r="G360" s="67" t="s">
        <v>1052</v>
      </c>
      <c r="H360" s="37">
        <f t="shared" si="268"/>
        <v>357</v>
      </c>
      <c r="I360" s="37"/>
    </row>
    <row r="361" spans="1:9">
      <c r="A361" s="37" t="s">
        <v>1686</v>
      </c>
      <c r="B361" s="37" t="s">
        <v>1687</v>
      </c>
      <c r="C361" s="74" t="str">
        <f t="shared" ref="C361:E361" si="329">C343</f>
        <v>(空文字)</v>
      </c>
      <c r="D361" s="74" t="str">
        <f t="shared" si="329"/>
        <v>(空文字)</v>
      </c>
      <c r="E361" s="74" t="str">
        <f t="shared" si="329"/>
        <v>(空文字)</v>
      </c>
      <c r="F361" s="67" t="s">
        <v>230</v>
      </c>
      <c r="G361" s="67" t="s">
        <v>1052</v>
      </c>
      <c r="H361" s="37">
        <f t="shared" si="268"/>
        <v>358</v>
      </c>
      <c r="I361" s="37"/>
    </row>
    <row r="362" spans="1:9">
      <c r="A362" s="37" t="s">
        <v>1688</v>
      </c>
      <c r="B362" s="37" t="s">
        <v>1689</v>
      </c>
      <c r="C362" s="74">
        <f t="shared" ref="C362:E362" si="330">C344</f>
        <v>0</v>
      </c>
      <c r="D362" s="74">
        <f t="shared" si="330"/>
        <v>0</v>
      </c>
      <c r="E362" s="74">
        <f t="shared" si="330"/>
        <v>3</v>
      </c>
      <c r="F362" s="67" t="s">
        <v>230</v>
      </c>
      <c r="G362" s="67" t="s">
        <v>1052</v>
      </c>
      <c r="H362" s="37">
        <f t="shared" si="268"/>
        <v>359</v>
      </c>
      <c r="I362" s="37"/>
    </row>
    <row r="363" spans="1:9">
      <c r="A363" s="37" t="s">
        <v>3934</v>
      </c>
      <c r="B363" s="37" t="s">
        <v>4004</v>
      </c>
      <c r="C363" s="74">
        <f t="shared" ref="C363:E363" si="331">C345</f>
        <v>10000</v>
      </c>
      <c r="D363" s="74">
        <f t="shared" si="331"/>
        <v>1000</v>
      </c>
      <c r="E363" s="74">
        <f t="shared" si="331"/>
        <v>99999000</v>
      </c>
      <c r="F363" s="67" t="s">
        <v>230</v>
      </c>
      <c r="G363" s="67" t="s">
        <v>1052</v>
      </c>
      <c r="H363" s="37">
        <f t="shared" si="268"/>
        <v>360</v>
      </c>
      <c r="I363" s="37"/>
    </row>
    <row r="364" spans="1:9">
      <c r="A364" s="37" t="s">
        <v>4088</v>
      </c>
      <c r="B364" s="37" t="s">
        <v>4005</v>
      </c>
      <c r="C364" s="74">
        <f t="shared" ref="C364:E364" si="332">C346</f>
        <v>0</v>
      </c>
      <c r="D364" s="74">
        <f t="shared" si="332"/>
        <v>0</v>
      </c>
      <c r="E364" s="74">
        <f t="shared" si="332"/>
        <v>1</v>
      </c>
      <c r="F364" s="67" t="s">
        <v>230</v>
      </c>
      <c r="G364" s="67" t="s">
        <v>1052</v>
      </c>
      <c r="H364" s="37">
        <f t="shared" si="268"/>
        <v>361</v>
      </c>
      <c r="I364" s="37"/>
    </row>
    <row r="365" spans="1:9">
      <c r="A365" s="37" t="s">
        <v>1690</v>
      </c>
      <c r="B365" s="37" t="s">
        <v>1691</v>
      </c>
      <c r="C365" s="92">
        <f t="shared" si="314"/>
        <v>204</v>
      </c>
      <c r="D365" s="74">
        <f t="shared" ref="D365:E365" si="333">D347</f>
        <v>1</v>
      </c>
      <c r="E365" s="74">
        <f t="shared" si="333"/>
        <v>4096</v>
      </c>
      <c r="F365" s="67" t="s">
        <v>230</v>
      </c>
      <c r="G365" s="67" t="s">
        <v>230</v>
      </c>
      <c r="H365" s="37">
        <f t="shared" si="268"/>
        <v>362</v>
      </c>
      <c r="I365" s="37"/>
    </row>
    <row r="366" spans="1:9">
      <c r="A366" s="37" t="s">
        <v>1692</v>
      </c>
      <c r="B366" s="37" t="s">
        <v>1693</v>
      </c>
      <c r="C366" s="74" t="str">
        <f t="shared" ref="C366:E366" si="334">C348</f>
        <v>0x00000000</v>
      </c>
      <c r="D366" s="74" t="str">
        <f t="shared" si="334"/>
        <v>0x80000000</v>
      </c>
      <c r="E366" s="74" t="str">
        <f t="shared" si="334"/>
        <v>0x7fffffff</v>
      </c>
      <c r="F366" s="67" t="s">
        <v>230</v>
      </c>
      <c r="G366" s="67" t="s">
        <v>1052</v>
      </c>
      <c r="H366" s="37">
        <f t="shared" ref="H366:H429" si="335">ROW()-3</f>
        <v>363</v>
      </c>
      <c r="I366" s="37"/>
    </row>
    <row r="367" spans="1:9">
      <c r="A367" s="37" t="s">
        <v>1694</v>
      </c>
      <c r="B367" s="37" t="s">
        <v>1695</v>
      </c>
      <c r="C367" s="74">
        <f t="shared" ref="C367:E367" si="336">C349</f>
        <v>0</v>
      </c>
      <c r="D367" s="74">
        <f t="shared" si="336"/>
        <v>0</v>
      </c>
      <c r="E367" s="74">
        <f t="shared" si="336"/>
        <v>65535</v>
      </c>
      <c r="F367" s="67" t="s">
        <v>230</v>
      </c>
      <c r="G367" s="67" t="s">
        <v>1052</v>
      </c>
      <c r="H367" s="37">
        <f t="shared" si="335"/>
        <v>364</v>
      </c>
      <c r="I367" s="37"/>
    </row>
    <row r="368" spans="1:9">
      <c r="A368" s="37" t="s">
        <v>1696</v>
      </c>
      <c r="B368" s="37" t="s">
        <v>1697</v>
      </c>
      <c r="C368" s="74">
        <f t="shared" ref="C368:E368" si="337">C350</f>
        <v>1</v>
      </c>
      <c r="D368" s="74">
        <f t="shared" si="337"/>
        <v>0</v>
      </c>
      <c r="E368" s="74">
        <f t="shared" si="337"/>
        <v>1</v>
      </c>
      <c r="F368" s="67" t="s">
        <v>230</v>
      </c>
      <c r="G368" s="67" t="s">
        <v>1052</v>
      </c>
      <c r="H368" s="37">
        <f t="shared" si="335"/>
        <v>365</v>
      </c>
      <c r="I368" s="37"/>
    </row>
    <row r="369" spans="1:9">
      <c r="A369" s="37" t="s">
        <v>1698</v>
      </c>
      <c r="B369" s="37" t="s">
        <v>1699</v>
      </c>
      <c r="C369" s="74">
        <f t="shared" ref="C369:E369" si="338">C351</f>
        <v>0</v>
      </c>
      <c r="D369" s="74">
        <f t="shared" si="338"/>
        <v>0</v>
      </c>
      <c r="E369" s="74">
        <f t="shared" si="338"/>
        <v>65535</v>
      </c>
      <c r="F369" s="67" t="s">
        <v>230</v>
      </c>
      <c r="G369" s="67" t="s">
        <v>1052</v>
      </c>
      <c r="H369" s="37">
        <f t="shared" si="335"/>
        <v>366</v>
      </c>
      <c r="I369" s="37"/>
    </row>
    <row r="370" spans="1:9">
      <c r="A370" s="37" t="s">
        <v>1700</v>
      </c>
      <c r="B370" s="37" t="s">
        <v>1701</v>
      </c>
      <c r="C370" s="74">
        <f t="shared" ref="C370:E370" si="339">C352</f>
        <v>0</v>
      </c>
      <c r="D370" s="74">
        <f t="shared" si="339"/>
        <v>0</v>
      </c>
      <c r="E370" s="74">
        <f t="shared" si="339"/>
        <v>1</v>
      </c>
      <c r="F370" s="67" t="s">
        <v>230</v>
      </c>
      <c r="G370" s="67" t="s">
        <v>1052</v>
      </c>
      <c r="H370" s="37">
        <f t="shared" si="335"/>
        <v>367</v>
      </c>
      <c r="I370" s="37"/>
    </row>
    <row r="371" spans="1:9">
      <c r="A371" s="37" t="s">
        <v>1702</v>
      </c>
      <c r="B371" s="37" t="s">
        <v>1703</v>
      </c>
      <c r="C371" s="74">
        <f t="shared" ref="C371:E371" si="340">C353</f>
        <v>1</v>
      </c>
      <c r="D371" s="74">
        <f t="shared" si="340"/>
        <v>0</v>
      </c>
      <c r="E371" s="74">
        <f t="shared" si="340"/>
        <v>2</v>
      </c>
      <c r="F371" s="67" t="s">
        <v>230</v>
      </c>
      <c r="G371" s="67" t="s">
        <v>1052</v>
      </c>
      <c r="H371" s="37">
        <f t="shared" si="335"/>
        <v>368</v>
      </c>
      <c r="I371" s="37"/>
    </row>
    <row r="372" spans="1:9">
      <c r="A372" s="37" t="s">
        <v>1704</v>
      </c>
      <c r="B372" s="37" t="s">
        <v>1705</v>
      </c>
      <c r="C372" s="74">
        <f t="shared" ref="C372:E372" si="341">C354</f>
        <v>0</v>
      </c>
      <c r="D372" s="74">
        <f t="shared" si="341"/>
        <v>0</v>
      </c>
      <c r="E372" s="74">
        <f t="shared" si="341"/>
        <v>3</v>
      </c>
      <c r="F372" s="67" t="s">
        <v>230</v>
      </c>
      <c r="G372" s="67" t="s">
        <v>1052</v>
      </c>
      <c r="H372" s="37">
        <f t="shared" si="335"/>
        <v>369</v>
      </c>
      <c r="I372" s="37"/>
    </row>
    <row r="373" spans="1:9">
      <c r="A373" s="37" t="s">
        <v>1706</v>
      </c>
      <c r="B373" s="37" t="s">
        <v>1707</v>
      </c>
      <c r="C373" s="74">
        <f t="shared" ref="C373:E373" si="342">C355</f>
        <v>0</v>
      </c>
      <c r="D373" s="74">
        <f t="shared" si="342"/>
        <v>0</v>
      </c>
      <c r="E373" s="74">
        <f t="shared" si="342"/>
        <v>3</v>
      </c>
      <c r="F373" s="67" t="s">
        <v>230</v>
      </c>
      <c r="G373" s="67" t="s">
        <v>1052</v>
      </c>
      <c r="H373" s="37">
        <f t="shared" si="335"/>
        <v>370</v>
      </c>
      <c r="I373" s="37"/>
    </row>
    <row r="374" spans="1:9">
      <c r="A374" s="37" t="s">
        <v>1708</v>
      </c>
      <c r="B374" s="37" t="s">
        <v>1709</v>
      </c>
      <c r="C374" s="74">
        <f t="shared" ref="C374:E374" si="343">C356</f>
        <v>0</v>
      </c>
      <c r="D374" s="74">
        <f t="shared" si="343"/>
        <v>0</v>
      </c>
      <c r="E374" s="74">
        <f t="shared" si="343"/>
        <v>3</v>
      </c>
      <c r="F374" s="67" t="s">
        <v>230</v>
      </c>
      <c r="G374" s="67" t="s">
        <v>1052</v>
      </c>
      <c r="H374" s="37">
        <f t="shared" si="335"/>
        <v>371</v>
      </c>
      <c r="I374" s="37"/>
    </row>
    <row r="375" spans="1:9">
      <c r="A375" s="37" t="s">
        <v>1710</v>
      </c>
      <c r="B375" s="37" t="s">
        <v>2673</v>
      </c>
      <c r="C375" s="74">
        <f t="shared" ref="C375:E375" si="344">C357</f>
        <v>0</v>
      </c>
      <c r="D375" s="74">
        <f t="shared" si="344"/>
        <v>0</v>
      </c>
      <c r="E375" s="74">
        <f t="shared" si="344"/>
        <v>1</v>
      </c>
      <c r="F375" s="67" t="s">
        <v>230</v>
      </c>
      <c r="G375" s="67" t="s">
        <v>1052</v>
      </c>
      <c r="H375" s="37">
        <f t="shared" si="335"/>
        <v>372</v>
      </c>
      <c r="I375" s="37"/>
    </row>
    <row r="376" spans="1:9">
      <c r="A376" s="37" t="s">
        <v>1711</v>
      </c>
      <c r="B376" s="37" t="s">
        <v>1712</v>
      </c>
      <c r="C376" s="74">
        <f t="shared" ref="C376:E376" si="345">C358</f>
        <v>0</v>
      </c>
      <c r="D376" s="74">
        <f t="shared" si="345"/>
        <v>0</v>
      </c>
      <c r="E376" s="74">
        <f t="shared" si="345"/>
        <v>1</v>
      </c>
      <c r="F376" s="67" t="s">
        <v>230</v>
      </c>
      <c r="G376" s="67" t="s">
        <v>1052</v>
      </c>
      <c r="H376" s="37">
        <f t="shared" si="335"/>
        <v>373</v>
      </c>
      <c r="I376" s="37"/>
    </row>
    <row r="377" spans="1:9">
      <c r="A377" s="37" t="s">
        <v>1713</v>
      </c>
      <c r="B377" s="37" t="s">
        <v>1714</v>
      </c>
      <c r="C377" s="74">
        <f t="shared" ref="C377:E377" si="346">C359</f>
        <v>0</v>
      </c>
      <c r="D377" s="74">
        <f t="shared" si="346"/>
        <v>0</v>
      </c>
      <c r="E377" s="74">
        <f t="shared" si="346"/>
        <v>4</v>
      </c>
      <c r="F377" s="67" t="s">
        <v>230</v>
      </c>
      <c r="G377" s="67" t="s">
        <v>1052</v>
      </c>
      <c r="H377" s="37">
        <f t="shared" si="335"/>
        <v>374</v>
      </c>
      <c r="I377" s="37"/>
    </row>
    <row r="378" spans="1:9">
      <c r="A378" s="37" t="s">
        <v>1715</v>
      </c>
      <c r="B378" s="37" t="s">
        <v>1716</v>
      </c>
      <c r="C378" s="74" t="str">
        <f t="shared" ref="C378:E378" si="347">C360</f>
        <v>(空文字)</v>
      </c>
      <c r="D378" s="74" t="str">
        <f t="shared" si="347"/>
        <v>(空文字)</v>
      </c>
      <c r="E378" s="74" t="str">
        <f t="shared" si="347"/>
        <v>(空文字)</v>
      </c>
      <c r="F378" s="67" t="s">
        <v>230</v>
      </c>
      <c r="G378" s="67" t="s">
        <v>1052</v>
      </c>
      <c r="H378" s="37">
        <f t="shared" si="335"/>
        <v>375</v>
      </c>
      <c r="I378" s="37"/>
    </row>
    <row r="379" spans="1:9">
      <c r="A379" s="37" t="s">
        <v>1717</v>
      </c>
      <c r="B379" s="37" t="s">
        <v>1718</v>
      </c>
      <c r="C379" s="74" t="str">
        <f t="shared" ref="C379:E379" si="348">C361</f>
        <v>(空文字)</v>
      </c>
      <c r="D379" s="74" t="str">
        <f t="shared" si="348"/>
        <v>(空文字)</v>
      </c>
      <c r="E379" s="74" t="str">
        <f t="shared" si="348"/>
        <v>(空文字)</v>
      </c>
      <c r="F379" s="67" t="s">
        <v>230</v>
      </c>
      <c r="G379" s="67" t="s">
        <v>1052</v>
      </c>
      <c r="H379" s="37">
        <f t="shared" si="335"/>
        <v>376</v>
      </c>
      <c r="I379" s="37"/>
    </row>
    <row r="380" spans="1:9">
      <c r="A380" s="37" t="s">
        <v>1719</v>
      </c>
      <c r="B380" s="37" t="s">
        <v>1720</v>
      </c>
      <c r="C380" s="74">
        <f t="shared" ref="C380:E380" si="349">C362</f>
        <v>0</v>
      </c>
      <c r="D380" s="74">
        <f t="shared" si="349"/>
        <v>0</v>
      </c>
      <c r="E380" s="74">
        <f t="shared" si="349"/>
        <v>3</v>
      </c>
      <c r="F380" s="67" t="s">
        <v>230</v>
      </c>
      <c r="G380" s="67" t="s">
        <v>1052</v>
      </c>
      <c r="H380" s="37">
        <f t="shared" si="335"/>
        <v>377</v>
      </c>
      <c r="I380" s="37"/>
    </row>
    <row r="381" spans="1:9">
      <c r="A381" s="37" t="s">
        <v>3935</v>
      </c>
      <c r="B381" s="37" t="s">
        <v>4006</v>
      </c>
      <c r="C381" s="74">
        <f t="shared" ref="C381:E381" si="350">C363</f>
        <v>10000</v>
      </c>
      <c r="D381" s="74">
        <f t="shared" si="350"/>
        <v>1000</v>
      </c>
      <c r="E381" s="74">
        <f t="shared" si="350"/>
        <v>99999000</v>
      </c>
      <c r="F381" s="67" t="s">
        <v>230</v>
      </c>
      <c r="G381" s="67" t="s">
        <v>1052</v>
      </c>
      <c r="H381" s="37">
        <f t="shared" si="335"/>
        <v>378</v>
      </c>
      <c r="I381" s="37"/>
    </row>
    <row r="382" spans="1:9">
      <c r="A382" s="37" t="s">
        <v>4089</v>
      </c>
      <c r="B382" s="37" t="s">
        <v>4007</v>
      </c>
      <c r="C382" s="74">
        <f t="shared" ref="C382:E382" si="351">C364</f>
        <v>0</v>
      </c>
      <c r="D382" s="74">
        <f t="shared" si="351"/>
        <v>0</v>
      </c>
      <c r="E382" s="74">
        <f t="shared" si="351"/>
        <v>1</v>
      </c>
      <c r="F382" s="67" t="s">
        <v>230</v>
      </c>
      <c r="G382" s="67" t="s">
        <v>1052</v>
      </c>
      <c r="H382" s="37">
        <f t="shared" si="335"/>
        <v>379</v>
      </c>
      <c r="I382" s="37"/>
    </row>
    <row r="383" spans="1:9">
      <c r="A383" s="37" t="s">
        <v>1721</v>
      </c>
      <c r="B383" s="37" t="s">
        <v>1722</v>
      </c>
      <c r="C383" s="92">
        <f t="shared" si="314"/>
        <v>205</v>
      </c>
      <c r="D383" s="74">
        <f t="shared" ref="D383:E383" si="352">D365</f>
        <v>1</v>
      </c>
      <c r="E383" s="74">
        <f t="shared" si="352"/>
        <v>4096</v>
      </c>
      <c r="F383" s="67" t="s">
        <v>230</v>
      </c>
      <c r="G383" s="67" t="s">
        <v>230</v>
      </c>
      <c r="H383" s="37">
        <f t="shared" si="335"/>
        <v>380</v>
      </c>
      <c r="I383" s="37"/>
    </row>
    <row r="384" spans="1:9">
      <c r="A384" s="37" t="s">
        <v>1723</v>
      </c>
      <c r="B384" s="37" t="s">
        <v>1724</v>
      </c>
      <c r="C384" s="74" t="str">
        <f t="shared" ref="C384:E384" si="353">C366</f>
        <v>0x00000000</v>
      </c>
      <c r="D384" s="74" t="str">
        <f t="shared" si="353"/>
        <v>0x80000000</v>
      </c>
      <c r="E384" s="74" t="str">
        <f t="shared" si="353"/>
        <v>0x7fffffff</v>
      </c>
      <c r="F384" s="67" t="s">
        <v>230</v>
      </c>
      <c r="G384" s="67" t="s">
        <v>1052</v>
      </c>
      <c r="H384" s="37">
        <f t="shared" si="335"/>
        <v>381</v>
      </c>
      <c r="I384" s="37"/>
    </row>
    <row r="385" spans="1:9">
      <c r="A385" s="37" t="s">
        <v>1725</v>
      </c>
      <c r="B385" s="37" t="s">
        <v>1726</v>
      </c>
      <c r="C385" s="74">
        <f t="shared" ref="C385:E385" si="354">C367</f>
        <v>0</v>
      </c>
      <c r="D385" s="74">
        <f t="shared" si="354"/>
        <v>0</v>
      </c>
      <c r="E385" s="74">
        <f t="shared" si="354"/>
        <v>65535</v>
      </c>
      <c r="F385" s="67" t="s">
        <v>230</v>
      </c>
      <c r="G385" s="67" t="s">
        <v>1052</v>
      </c>
      <c r="H385" s="37">
        <f t="shared" si="335"/>
        <v>382</v>
      </c>
      <c r="I385" s="37"/>
    </row>
    <row r="386" spans="1:9">
      <c r="A386" s="37" t="s">
        <v>1727</v>
      </c>
      <c r="B386" s="37" t="s">
        <v>1728</v>
      </c>
      <c r="C386" s="74">
        <f t="shared" ref="C386:E386" si="355">C368</f>
        <v>1</v>
      </c>
      <c r="D386" s="74">
        <f t="shared" si="355"/>
        <v>0</v>
      </c>
      <c r="E386" s="74">
        <f t="shared" si="355"/>
        <v>1</v>
      </c>
      <c r="F386" s="67" t="s">
        <v>230</v>
      </c>
      <c r="G386" s="67" t="s">
        <v>1052</v>
      </c>
      <c r="H386" s="37">
        <f t="shared" si="335"/>
        <v>383</v>
      </c>
      <c r="I386" s="37"/>
    </row>
    <row r="387" spans="1:9">
      <c r="A387" s="37" t="s">
        <v>1729</v>
      </c>
      <c r="B387" s="37" t="s">
        <v>1730</v>
      </c>
      <c r="C387" s="74">
        <f t="shared" ref="C387:E387" si="356">C369</f>
        <v>0</v>
      </c>
      <c r="D387" s="74">
        <f t="shared" si="356"/>
        <v>0</v>
      </c>
      <c r="E387" s="74">
        <f t="shared" si="356"/>
        <v>65535</v>
      </c>
      <c r="F387" s="67" t="s">
        <v>230</v>
      </c>
      <c r="G387" s="67" t="s">
        <v>1052</v>
      </c>
      <c r="H387" s="37">
        <f t="shared" si="335"/>
        <v>384</v>
      </c>
      <c r="I387" s="37"/>
    </row>
    <row r="388" spans="1:9">
      <c r="A388" s="37" t="s">
        <v>1731</v>
      </c>
      <c r="B388" s="37" t="s">
        <v>1732</v>
      </c>
      <c r="C388" s="74">
        <f t="shared" ref="C388:E388" si="357">C370</f>
        <v>0</v>
      </c>
      <c r="D388" s="74">
        <f t="shared" si="357"/>
        <v>0</v>
      </c>
      <c r="E388" s="74">
        <f t="shared" si="357"/>
        <v>1</v>
      </c>
      <c r="F388" s="67" t="s">
        <v>230</v>
      </c>
      <c r="G388" s="67" t="s">
        <v>1052</v>
      </c>
      <c r="H388" s="37">
        <f t="shared" si="335"/>
        <v>385</v>
      </c>
      <c r="I388" s="37"/>
    </row>
    <row r="389" spans="1:9">
      <c r="A389" s="37" t="s">
        <v>1733</v>
      </c>
      <c r="B389" s="37" t="s">
        <v>1734</v>
      </c>
      <c r="C389" s="74">
        <f t="shared" ref="C389:E389" si="358">C371</f>
        <v>1</v>
      </c>
      <c r="D389" s="74">
        <f t="shared" si="358"/>
        <v>0</v>
      </c>
      <c r="E389" s="74">
        <f t="shared" si="358"/>
        <v>2</v>
      </c>
      <c r="F389" s="67" t="s">
        <v>230</v>
      </c>
      <c r="G389" s="67" t="s">
        <v>1052</v>
      </c>
      <c r="H389" s="37">
        <f t="shared" si="335"/>
        <v>386</v>
      </c>
      <c r="I389" s="37"/>
    </row>
    <row r="390" spans="1:9">
      <c r="A390" s="37" t="s">
        <v>1735</v>
      </c>
      <c r="B390" s="37" t="s">
        <v>1736</v>
      </c>
      <c r="C390" s="74">
        <f t="shared" ref="C390:E390" si="359">C372</f>
        <v>0</v>
      </c>
      <c r="D390" s="74">
        <f t="shared" si="359"/>
        <v>0</v>
      </c>
      <c r="E390" s="74">
        <f t="shared" si="359"/>
        <v>3</v>
      </c>
      <c r="F390" s="67" t="s">
        <v>230</v>
      </c>
      <c r="G390" s="67" t="s">
        <v>1052</v>
      </c>
      <c r="H390" s="37">
        <f t="shared" si="335"/>
        <v>387</v>
      </c>
      <c r="I390" s="37"/>
    </row>
    <row r="391" spans="1:9">
      <c r="A391" s="37" t="s">
        <v>1737</v>
      </c>
      <c r="B391" s="37" t="s">
        <v>1738</v>
      </c>
      <c r="C391" s="74">
        <f t="shared" ref="C391:E391" si="360">C373</f>
        <v>0</v>
      </c>
      <c r="D391" s="74">
        <f t="shared" si="360"/>
        <v>0</v>
      </c>
      <c r="E391" s="74">
        <f t="shared" si="360"/>
        <v>3</v>
      </c>
      <c r="F391" s="67" t="s">
        <v>230</v>
      </c>
      <c r="G391" s="67" t="s">
        <v>1052</v>
      </c>
      <c r="H391" s="37">
        <f t="shared" si="335"/>
        <v>388</v>
      </c>
      <c r="I391" s="37"/>
    </row>
    <row r="392" spans="1:9">
      <c r="A392" s="37" t="s">
        <v>1739</v>
      </c>
      <c r="B392" s="37" t="s">
        <v>1740</v>
      </c>
      <c r="C392" s="74">
        <f t="shared" ref="C392:E392" si="361">C374</f>
        <v>0</v>
      </c>
      <c r="D392" s="74">
        <f t="shared" si="361"/>
        <v>0</v>
      </c>
      <c r="E392" s="74">
        <f t="shared" si="361"/>
        <v>3</v>
      </c>
      <c r="F392" s="67" t="s">
        <v>230</v>
      </c>
      <c r="G392" s="67" t="s">
        <v>1052</v>
      </c>
      <c r="H392" s="37">
        <f t="shared" si="335"/>
        <v>389</v>
      </c>
      <c r="I392" s="37"/>
    </row>
    <row r="393" spans="1:9">
      <c r="A393" s="37" t="s">
        <v>1741</v>
      </c>
      <c r="B393" s="37" t="s">
        <v>2674</v>
      </c>
      <c r="C393" s="74">
        <f t="shared" ref="C393:E393" si="362">C375</f>
        <v>0</v>
      </c>
      <c r="D393" s="74">
        <f t="shared" si="362"/>
        <v>0</v>
      </c>
      <c r="E393" s="74">
        <f t="shared" si="362"/>
        <v>1</v>
      </c>
      <c r="F393" s="67" t="s">
        <v>230</v>
      </c>
      <c r="G393" s="67" t="s">
        <v>1052</v>
      </c>
      <c r="H393" s="37">
        <f t="shared" si="335"/>
        <v>390</v>
      </c>
      <c r="I393" s="37"/>
    </row>
    <row r="394" spans="1:9">
      <c r="A394" s="37" t="s">
        <v>1742</v>
      </c>
      <c r="B394" s="37" t="s">
        <v>1743</v>
      </c>
      <c r="C394" s="74">
        <f t="shared" ref="C394:E394" si="363">C376</f>
        <v>0</v>
      </c>
      <c r="D394" s="74">
        <f t="shared" si="363"/>
        <v>0</v>
      </c>
      <c r="E394" s="74">
        <f t="shared" si="363"/>
        <v>1</v>
      </c>
      <c r="F394" s="67" t="s">
        <v>230</v>
      </c>
      <c r="G394" s="67" t="s">
        <v>1052</v>
      </c>
      <c r="H394" s="37">
        <f t="shared" si="335"/>
        <v>391</v>
      </c>
      <c r="I394" s="37"/>
    </row>
    <row r="395" spans="1:9">
      <c r="A395" s="37" t="s">
        <v>1744</v>
      </c>
      <c r="B395" s="37" t="s">
        <v>1745</v>
      </c>
      <c r="C395" s="74">
        <f t="shared" ref="C395:E395" si="364">C377</f>
        <v>0</v>
      </c>
      <c r="D395" s="74">
        <f t="shared" si="364"/>
        <v>0</v>
      </c>
      <c r="E395" s="74">
        <f t="shared" si="364"/>
        <v>4</v>
      </c>
      <c r="F395" s="67" t="s">
        <v>230</v>
      </c>
      <c r="G395" s="67" t="s">
        <v>1052</v>
      </c>
      <c r="H395" s="37">
        <f t="shared" si="335"/>
        <v>392</v>
      </c>
      <c r="I395" s="37"/>
    </row>
    <row r="396" spans="1:9">
      <c r="A396" s="37" t="s">
        <v>1746</v>
      </c>
      <c r="B396" s="37" t="s">
        <v>1747</v>
      </c>
      <c r="C396" s="74" t="str">
        <f t="shared" ref="C396:E396" si="365">C378</f>
        <v>(空文字)</v>
      </c>
      <c r="D396" s="74" t="str">
        <f t="shared" si="365"/>
        <v>(空文字)</v>
      </c>
      <c r="E396" s="74" t="str">
        <f t="shared" si="365"/>
        <v>(空文字)</v>
      </c>
      <c r="F396" s="67" t="s">
        <v>230</v>
      </c>
      <c r="G396" s="67" t="s">
        <v>1052</v>
      </c>
      <c r="H396" s="37">
        <f t="shared" si="335"/>
        <v>393</v>
      </c>
      <c r="I396" s="37"/>
    </row>
    <row r="397" spans="1:9">
      <c r="A397" s="37" t="s">
        <v>1748</v>
      </c>
      <c r="B397" s="37" t="s">
        <v>1749</v>
      </c>
      <c r="C397" s="74" t="str">
        <f t="shared" ref="C397:E397" si="366">C379</f>
        <v>(空文字)</v>
      </c>
      <c r="D397" s="74" t="str">
        <f t="shared" si="366"/>
        <v>(空文字)</v>
      </c>
      <c r="E397" s="74" t="str">
        <f t="shared" si="366"/>
        <v>(空文字)</v>
      </c>
      <c r="F397" s="67" t="s">
        <v>230</v>
      </c>
      <c r="G397" s="67" t="s">
        <v>1052</v>
      </c>
      <c r="H397" s="37">
        <f t="shared" si="335"/>
        <v>394</v>
      </c>
      <c r="I397" s="37"/>
    </row>
    <row r="398" spans="1:9">
      <c r="A398" s="37" t="s">
        <v>1750</v>
      </c>
      <c r="B398" s="37" t="s">
        <v>1751</v>
      </c>
      <c r="C398" s="74">
        <f t="shared" ref="C398:E398" si="367">C380</f>
        <v>0</v>
      </c>
      <c r="D398" s="74">
        <f t="shared" si="367"/>
        <v>0</v>
      </c>
      <c r="E398" s="74">
        <f t="shared" si="367"/>
        <v>3</v>
      </c>
      <c r="F398" s="67" t="s">
        <v>230</v>
      </c>
      <c r="G398" s="67" t="s">
        <v>1052</v>
      </c>
      <c r="H398" s="37">
        <f t="shared" si="335"/>
        <v>395</v>
      </c>
      <c r="I398" s="37"/>
    </row>
    <row r="399" spans="1:9">
      <c r="A399" s="37" t="s">
        <v>3936</v>
      </c>
      <c r="B399" s="37" t="s">
        <v>4008</v>
      </c>
      <c r="C399" s="74">
        <f t="shared" ref="C399:E399" si="368">C381</f>
        <v>10000</v>
      </c>
      <c r="D399" s="74">
        <f t="shared" si="368"/>
        <v>1000</v>
      </c>
      <c r="E399" s="74">
        <f t="shared" si="368"/>
        <v>99999000</v>
      </c>
      <c r="F399" s="67" t="s">
        <v>230</v>
      </c>
      <c r="G399" s="67" t="s">
        <v>1052</v>
      </c>
      <c r="H399" s="37">
        <f t="shared" si="335"/>
        <v>396</v>
      </c>
      <c r="I399" s="37"/>
    </row>
    <row r="400" spans="1:9">
      <c r="A400" s="37" t="s">
        <v>4090</v>
      </c>
      <c r="B400" s="37" t="s">
        <v>4009</v>
      </c>
      <c r="C400" s="74">
        <f t="shared" ref="C400:E400" si="369">C382</f>
        <v>0</v>
      </c>
      <c r="D400" s="74">
        <f t="shared" si="369"/>
        <v>0</v>
      </c>
      <c r="E400" s="74">
        <f t="shared" si="369"/>
        <v>1</v>
      </c>
      <c r="F400" s="67" t="s">
        <v>230</v>
      </c>
      <c r="G400" s="67" t="s">
        <v>1052</v>
      </c>
      <c r="H400" s="37">
        <f t="shared" si="335"/>
        <v>397</v>
      </c>
      <c r="I400" s="37"/>
    </row>
    <row r="401" spans="1:9">
      <c r="A401" s="37" t="s">
        <v>1752</v>
      </c>
      <c r="B401" s="37" t="s">
        <v>1753</v>
      </c>
      <c r="C401" s="92">
        <f t="shared" si="314"/>
        <v>206</v>
      </c>
      <c r="D401" s="74">
        <f t="shared" ref="D401:E401" si="370">D383</f>
        <v>1</v>
      </c>
      <c r="E401" s="74">
        <f t="shared" si="370"/>
        <v>4096</v>
      </c>
      <c r="F401" s="67" t="s">
        <v>230</v>
      </c>
      <c r="G401" s="67" t="s">
        <v>230</v>
      </c>
      <c r="H401" s="37">
        <f t="shared" si="335"/>
        <v>398</v>
      </c>
      <c r="I401" s="37"/>
    </row>
    <row r="402" spans="1:9">
      <c r="A402" s="37" t="s">
        <v>1754</v>
      </c>
      <c r="B402" s="37" t="s">
        <v>1755</v>
      </c>
      <c r="C402" s="74" t="str">
        <f t="shared" ref="C402:E402" si="371">C384</f>
        <v>0x00000000</v>
      </c>
      <c r="D402" s="74" t="str">
        <f t="shared" si="371"/>
        <v>0x80000000</v>
      </c>
      <c r="E402" s="74" t="str">
        <f t="shared" si="371"/>
        <v>0x7fffffff</v>
      </c>
      <c r="F402" s="67" t="s">
        <v>230</v>
      </c>
      <c r="G402" s="67" t="s">
        <v>1052</v>
      </c>
      <c r="H402" s="37">
        <f t="shared" si="335"/>
        <v>399</v>
      </c>
      <c r="I402" s="37"/>
    </row>
    <row r="403" spans="1:9">
      <c r="A403" s="37" t="s">
        <v>1756</v>
      </c>
      <c r="B403" s="37" t="s">
        <v>1757</v>
      </c>
      <c r="C403" s="74">
        <f t="shared" ref="C403:E403" si="372">C385</f>
        <v>0</v>
      </c>
      <c r="D403" s="74">
        <f t="shared" si="372"/>
        <v>0</v>
      </c>
      <c r="E403" s="74">
        <f t="shared" si="372"/>
        <v>65535</v>
      </c>
      <c r="F403" s="67" t="s">
        <v>230</v>
      </c>
      <c r="G403" s="67" t="s">
        <v>1052</v>
      </c>
      <c r="H403" s="37">
        <f t="shared" si="335"/>
        <v>400</v>
      </c>
      <c r="I403" s="37"/>
    </row>
    <row r="404" spans="1:9">
      <c r="A404" s="37" t="s">
        <v>1758</v>
      </c>
      <c r="B404" s="37" t="s">
        <v>1759</v>
      </c>
      <c r="C404" s="74">
        <f t="shared" ref="C404:E404" si="373">C386</f>
        <v>1</v>
      </c>
      <c r="D404" s="74">
        <f t="shared" si="373"/>
        <v>0</v>
      </c>
      <c r="E404" s="74">
        <f t="shared" si="373"/>
        <v>1</v>
      </c>
      <c r="F404" s="67" t="s">
        <v>230</v>
      </c>
      <c r="G404" s="67" t="s">
        <v>1052</v>
      </c>
      <c r="H404" s="37">
        <f t="shared" si="335"/>
        <v>401</v>
      </c>
      <c r="I404" s="37"/>
    </row>
    <row r="405" spans="1:9">
      <c r="A405" s="37" t="s">
        <v>1760</v>
      </c>
      <c r="B405" s="37" t="s">
        <v>1761</v>
      </c>
      <c r="C405" s="74">
        <f t="shared" ref="C405:E405" si="374">C387</f>
        <v>0</v>
      </c>
      <c r="D405" s="74">
        <f t="shared" si="374"/>
        <v>0</v>
      </c>
      <c r="E405" s="74">
        <f t="shared" si="374"/>
        <v>65535</v>
      </c>
      <c r="F405" s="67" t="s">
        <v>230</v>
      </c>
      <c r="G405" s="67" t="s">
        <v>1052</v>
      </c>
      <c r="H405" s="37">
        <f t="shared" si="335"/>
        <v>402</v>
      </c>
      <c r="I405" s="37"/>
    </row>
    <row r="406" spans="1:9">
      <c r="A406" s="37" t="s">
        <v>1762</v>
      </c>
      <c r="B406" s="37" t="s">
        <v>1763</v>
      </c>
      <c r="C406" s="74">
        <f t="shared" ref="C406:E406" si="375">C388</f>
        <v>0</v>
      </c>
      <c r="D406" s="74">
        <f t="shared" si="375"/>
        <v>0</v>
      </c>
      <c r="E406" s="74">
        <f t="shared" si="375"/>
        <v>1</v>
      </c>
      <c r="F406" s="67" t="s">
        <v>230</v>
      </c>
      <c r="G406" s="67" t="s">
        <v>1052</v>
      </c>
      <c r="H406" s="37">
        <f t="shared" si="335"/>
        <v>403</v>
      </c>
      <c r="I406" s="37"/>
    </row>
    <row r="407" spans="1:9">
      <c r="A407" s="37" t="s">
        <v>1764</v>
      </c>
      <c r="B407" s="37" t="s">
        <v>1765</v>
      </c>
      <c r="C407" s="74">
        <f t="shared" ref="C407:E407" si="376">C389</f>
        <v>1</v>
      </c>
      <c r="D407" s="74">
        <f t="shared" si="376"/>
        <v>0</v>
      </c>
      <c r="E407" s="74">
        <f t="shared" si="376"/>
        <v>2</v>
      </c>
      <c r="F407" s="67" t="s">
        <v>230</v>
      </c>
      <c r="G407" s="67" t="s">
        <v>1052</v>
      </c>
      <c r="H407" s="37">
        <f t="shared" si="335"/>
        <v>404</v>
      </c>
      <c r="I407" s="37"/>
    </row>
    <row r="408" spans="1:9">
      <c r="A408" s="37" t="s">
        <v>1766</v>
      </c>
      <c r="B408" s="37" t="s">
        <v>1767</v>
      </c>
      <c r="C408" s="74">
        <f t="shared" ref="C408:E408" si="377">C390</f>
        <v>0</v>
      </c>
      <c r="D408" s="74">
        <f t="shared" si="377"/>
        <v>0</v>
      </c>
      <c r="E408" s="74">
        <f t="shared" si="377"/>
        <v>3</v>
      </c>
      <c r="F408" s="67" t="s">
        <v>230</v>
      </c>
      <c r="G408" s="67" t="s">
        <v>1052</v>
      </c>
      <c r="H408" s="37">
        <f t="shared" si="335"/>
        <v>405</v>
      </c>
      <c r="I408" s="37"/>
    </row>
    <row r="409" spans="1:9">
      <c r="A409" s="37" t="s">
        <v>1768</v>
      </c>
      <c r="B409" s="37" t="s">
        <v>1769</v>
      </c>
      <c r="C409" s="74">
        <f t="shared" ref="C409:E409" si="378">C391</f>
        <v>0</v>
      </c>
      <c r="D409" s="74">
        <f t="shared" si="378"/>
        <v>0</v>
      </c>
      <c r="E409" s="74">
        <f t="shared" si="378"/>
        <v>3</v>
      </c>
      <c r="F409" s="67" t="s">
        <v>230</v>
      </c>
      <c r="G409" s="67" t="s">
        <v>1052</v>
      </c>
      <c r="H409" s="37">
        <f t="shared" si="335"/>
        <v>406</v>
      </c>
      <c r="I409" s="37"/>
    </row>
    <row r="410" spans="1:9">
      <c r="A410" s="37" t="s">
        <v>1770</v>
      </c>
      <c r="B410" s="37" t="s">
        <v>1771</v>
      </c>
      <c r="C410" s="74">
        <f t="shared" ref="C410:E410" si="379">C392</f>
        <v>0</v>
      </c>
      <c r="D410" s="74">
        <f t="shared" si="379"/>
        <v>0</v>
      </c>
      <c r="E410" s="74">
        <f t="shared" si="379"/>
        <v>3</v>
      </c>
      <c r="F410" s="67" t="s">
        <v>230</v>
      </c>
      <c r="G410" s="67" t="s">
        <v>1052</v>
      </c>
      <c r="H410" s="37">
        <f t="shared" si="335"/>
        <v>407</v>
      </c>
      <c r="I410" s="37"/>
    </row>
    <row r="411" spans="1:9">
      <c r="A411" s="37" t="s">
        <v>1772</v>
      </c>
      <c r="B411" s="37" t="s">
        <v>2675</v>
      </c>
      <c r="C411" s="74">
        <f t="shared" ref="C411:E411" si="380">C393</f>
        <v>0</v>
      </c>
      <c r="D411" s="74">
        <f t="shared" si="380"/>
        <v>0</v>
      </c>
      <c r="E411" s="74">
        <f t="shared" si="380"/>
        <v>1</v>
      </c>
      <c r="F411" s="67" t="s">
        <v>230</v>
      </c>
      <c r="G411" s="67" t="s">
        <v>1052</v>
      </c>
      <c r="H411" s="37">
        <f t="shared" si="335"/>
        <v>408</v>
      </c>
      <c r="I411" s="37"/>
    </row>
    <row r="412" spans="1:9">
      <c r="A412" s="37" t="s">
        <v>1773</v>
      </c>
      <c r="B412" s="37" t="s">
        <v>1774</v>
      </c>
      <c r="C412" s="74">
        <f t="shared" ref="C412:E412" si="381">C394</f>
        <v>0</v>
      </c>
      <c r="D412" s="74">
        <f t="shared" si="381"/>
        <v>0</v>
      </c>
      <c r="E412" s="74">
        <f t="shared" si="381"/>
        <v>1</v>
      </c>
      <c r="F412" s="67" t="s">
        <v>230</v>
      </c>
      <c r="G412" s="67" t="s">
        <v>1052</v>
      </c>
      <c r="H412" s="37">
        <f t="shared" si="335"/>
        <v>409</v>
      </c>
      <c r="I412" s="37"/>
    </row>
    <row r="413" spans="1:9">
      <c r="A413" s="37" t="s">
        <v>1775</v>
      </c>
      <c r="B413" s="37" t="s">
        <v>1776</v>
      </c>
      <c r="C413" s="74">
        <f t="shared" ref="C413:E413" si="382">C395</f>
        <v>0</v>
      </c>
      <c r="D413" s="74">
        <f t="shared" si="382"/>
        <v>0</v>
      </c>
      <c r="E413" s="74">
        <f t="shared" si="382"/>
        <v>4</v>
      </c>
      <c r="F413" s="67" t="s">
        <v>230</v>
      </c>
      <c r="G413" s="67" t="s">
        <v>1052</v>
      </c>
      <c r="H413" s="37">
        <f t="shared" si="335"/>
        <v>410</v>
      </c>
      <c r="I413" s="37"/>
    </row>
    <row r="414" spans="1:9">
      <c r="A414" s="37" t="s">
        <v>1777</v>
      </c>
      <c r="B414" s="37" t="s">
        <v>1778</v>
      </c>
      <c r="C414" s="74" t="str">
        <f t="shared" ref="C414:E414" si="383">C396</f>
        <v>(空文字)</v>
      </c>
      <c r="D414" s="74" t="str">
        <f t="shared" si="383"/>
        <v>(空文字)</v>
      </c>
      <c r="E414" s="74" t="str">
        <f t="shared" si="383"/>
        <v>(空文字)</v>
      </c>
      <c r="F414" s="67" t="s">
        <v>230</v>
      </c>
      <c r="G414" s="67" t="s">
        <v>1052</v>
      </c>
      <c r="H414" s="37">
        <f t="shared" si="335"/>
        <v>411</v>
      </c>
      <c r="I414" s="37"/>
    </row>
    <row r="415" spans="1:9">
      <c r="A415" s="37" t="s">
        <v>1779</v>
      </c>
      <c r="B415" s="37" t="s">
        <v>1780</v>
      </c>
      <c r="C415" s="74" t="str">
        <f t="shared" ref="C415:E415" si="384">C397</f>
        <v>(空文字)</v>
      </c>
      <c r="D415" s="74" t="str">
        <f t="shared" si="384"/>
        <v>(空文字)</v>
      </c>
      <c r="E415" s="74" t="str">
        <f t="shared" si="384"/>
        <v>(空文字)</v>
      </c>
      <c r="F415" s="67" t="s">
        <v>230</v>
      </c>
      <c r="G415" s="67" t="s">
        <v>1052</v>
      </c>
      <c r="H415" s="37">
        <f t="shared" si="335"/>
        <v>412</v>
      </c>
      <c r="I415" s="37"/>
    </row>
    <row r="416" spans="1:9">
      <c r="A416" s="37" t="s">
        <v>1781</v>
      </c>
      <c r="B416" s="37" t="s">
        <v>1782</v>
      </c>
      <c r="C416" s="74">
        <f t="shared" ref="C416:E416" si="385">C398</f>
        <v>0</v>
      </c>
      <c r="D416" s="74">
        <f t="shared" si="385"/>
        <v>0</v>
      </c>
      <c r="E416" s="74">
        <f t="shared" si="385"/>
        <v>3</v>
      </c>
      <c r="F416" s="67" t="s">
        <v>230</v>
      </c>
      <c r="G416" s="67" t="s">
        <v>1052</v>
      </c>
      <c r="H416" s="37">
        <f t="shared" si="335"/>
        <v>413</v>
      </c>
      <c r="I416" s="37"/>
    </row>
    <row r="417" spans="1:9">
      <c r="A417" s="37" t="s">
        <v>3937</v>
      </c>
      <c r="B417" s="37" t="s">
        <v>4010</v>
      </c>
      <c r="C417" s="74">
        <f t="shared" ref="C417:E417" si="386">C399</f>
        <v>10000</v>
      </c>
      <c r="D417" s="74">
        <f t="shared" si="386"/>
        <v>1000</v>
      </c>
      <c r="E417" s="74">
        <f t="shared" si="386"/>
        <v>99999000</v>
      </c>
      <c r="F417" s="67" t="s">
        <v>230</v>
      </c>
      <c r="G417" s="67" t="s">
        <v>1052</v>
      </c>
      <c r="H417" s="37">
        <f t="shared" si="335"/>
        <v>414</v>
      </c>
      <c r="I417" s="37"/>
    </row>
    <row r="418" spans="1:9">
      <c r="A418" s="37" t="s">
        <v>4091</v>
      </c>
      <c r="B418" s="37" t="s">
        <v>4011</v>
      </c>
      <c r="C418" s="74">
        <f t="shared" ref="C418:E418" si="387">C400</f>
        <v>0</v>
      </c>
      <c r="D418" s="74">
        <f t="shared" si="387"/>
        <v>0</v>
      </c>
      <c r="E418" s="74">
        <f t="shared" si="387"/>
        <v>1</v>
      </c>
      <c r="F418" s="67" t="s">
        <v>230</v>
      </c>
      <c r="G418" s="67" t="s">
        <v>1052</v>
      </c>
      <c r="H418" s="37">
        <f t="shared" si="335"/>
        <v>415</v>
      </c>
      <c r="I418" s="37"/>
    </row>
    <row r="419" spans="1:9">
      <c r="A419" s="37" t="s">
        <v>1783</v>
      </c>
      <c r="B419" s="37" t="s">
        <v>1784</v>
      </c>
      <c r="C419" s="92">
        <f t="shared" ref="C419:C473" si="388">C401+1</f>
        <v>207</v>
      </c>
      <c r="D419" s="74">
        <f t="shared" ref="D419:E419" si="389">D401</f>
        <v>1</v>
      </c>
      <c r="E419" s="74">
        <f t="shared" si="389"/>
        <v>4096</v>
      </c>
      <c r="F419" s="67" t="s">
        <v>230</v>
      </c>
      <c r="G419" s="67" t="s">
        <v>230</v>
      </c>
      <c r="H419" s="37">
        <f t="shared" si="335"/>
        <v>416</v>
      </c>
      <c r="I419" s="37"/>
    </row>
    <row r="420" spans="1:9">
      <c r="A420" s="37" t="s">
        <v>1785</v>
      </c>
      <c r="B420" s="37" t="s">
        <v>1786</v>
      </c>
      <c r="C420" s="74" t="str">
        <f t="shared" ref="C420:E420" si="390">C402</f>
        <v>0x00000000</v>
      </c>
      <c r="D420" s="74" t="str">
        <f t="shared" si="390"/>
        <v>0x80000000</v>
      </c>
      <c r="E420" s="74" t="str">
        <f t="shared" si="390"/>
        <v>0x7fffffff</v>
      </c>
      <c r="F420" s="67" t="s">
        <v>230</v>
      </c>
      <c r="G420" s="67" t="s">
        <v>1052</v>
      </c>
      <c r="H420" s="37">
        <f t="shared" si="335"/>
        <v>417</v>
      </c>
      <c r="I420" s="37"/>
    </row>
    <row r="421" spans="1:9">
      <c r="A421" s="37" t="s">
        <v>1787</v>
      </c>
      <c r="B421" s="37" t="s">
        <v>1788</v>
      </c>
      <c r="C421" s="74">
        <f t="shared" ref="C421:E421" si="391">C403</f>
        <v>0</v>
      </c>
      <c r="D421" s="74">
        <f t="shared" si="391"/>
        <v>0</v>
      </c>
      <c r="E421" s="74">
        <f t="shared" si="391"/>
        <v>65535</v>
      </c>
      <c r="F421" s="67" t="s">
        <v>230</v>
      </c>
      <c r="G421" s="67" t="s">
        <v>1052</v>
      </c>
      <c r="H421" s="37">
        <f t="shared" si="335"/>
        <v>418</v>
      </c>
      <c r="I421" s="37"/>
    </row>
    <row r="422" spans="1:9">
      <c r="A422" s="37" t="s">
        <v>1789</v>
      </c>
      <c r="B422" s="37" t="s">
        <v>1790</v>
      </c>
      <c r="C422" s="74">
        <f t="shared" ref="C422:E422" si="392">C404</f>
        <v>1</v>
      </c>
      <c r="D422" s="74">
        <f t="shared" si="392"/>
        <v>0</v>
      </c>
      <c r="E422" s="74">
        <f t="shared" si="392"/>
        <v>1</v>
      </c>
      <c r="F422" s="67" t="s">
        <v>230</v>
      </c>
      <c r="G422" s="67" t="s">
        <v>1052</v>
      </c>
      <c r="H422" s="37">
        <f t="shared" si="335"/>
        <v>419</v>
      </c>
      <c r="I422" s="37"/>
    </row>
    <row r="423" spans="1:9">
      <c r="A423" s="37" t="s">
        <v>1791</v>
      </c>
      <c r="B423" s="37" t="s">
        <v>1792</v>
      </c>
      <c r="C423" s="74">
        <f t="shared" ref="C423:E423" si="393">C405</f>
        <v>0</v>
      </c>
      <c r="D423" s="74">
        <f t="shared" si="393"/>
        <v>0</v>
      </c>
      <c r="E423" s="74">
        <f t="shared" si="393"/>
        <v>65535</v>
      </c>
      <c r="F423" s="67" t="s">
        <v>230</v>
      </c>
      <c r="G423" s="67" t="s">
        <v>1052</v>
      </c>
      <c r="H423" s="37">
        <f t="shared" si="335"/>
        <v>420</v>
      </c>
      <c r="I423" s="37"/>
    </row>
    <row r="424" spans="1:9">
      <c r="A424" s="37" t="s">
        <v>1793</v>
      </c>
      <c r="B424" s="37" t="s">
        <v>1794</v>
      </c>
      <c r="C424" s="74">
        <f t="shared" ref="C424:E424" si="394">C406</f>
        <v>0</v>
      </c>
      <c r="D424" s="74">
        <f t="shared" si="394"/>
        <v>0</v>
      </c>
      <c r="E424" s="74">
        <f t="shared" si="394"/>
        <v>1</v>
      </c>
      <c r="F424" s="67" t="s">
        <v>230</v>
      </c>
      <c r="G424" s="67" t="s">
        <v>1052</v>
      </c>
      <c r="H424" s="37">
        <f t="shared" si="335"/>
        <v>421</v>
      </c>
      <c r="I424" s="37"/>
    </row>
    <row r="425" spans="1:9">
      <c r="A425" s="37" t="s">
        <v>1795</v>
      </c>
      <c r="B425" s="37" t="s">
        <v>1796</v>
      </c>
      <c r="C425" s="74">
        <f t="shared" ref="C425:E425" si="395">C407</f>
        <v>1</v>
      </c>
      <c r="D425" s="74">
        <f t="shared" si="395"/>
        <v>0</v>
      </c>
      <c r="E425" s="74">
        <f t="shared" si="395"/>
        <v>2</v>
      </c>
      <c r="F425" s="67" t="s">
        <v>230</v>
      </c>
      <c r="G425" s="67" t="s">
        <v>1052</v>
      </c>
      <c r="H425" s="37">
        <f t="shared" si="335"/>
        <v>422</v>
      </c>
      <c r="I425" s="37"/>
    </row>
    <row r="426" spans="1:9">
      <c r="A426" s="37" t="s">
        <v>1797</v>
      </c>
      <c r="B426" s="37" t="s">
        <v>1798</v>
      </c>
      <c r="C426" s="74">
        <f t="shared" ref="C426:E426" si="396">C408</f>
        <v>0</v>
      </c>
      <c r="D426" s="74">
        <f t="shared" si="396"/>
        <v>0</v>
      </c>
      <c r="E426" s="74">
        <f t="shared" si="396"/>
        <v>3</v>
      </c>
      <c r="F426" s="67" t="s">
        <v>230</v>
      </c>
      <c r="G426" s="67" t="s">
        <v>1052</v>
      </c>
      <c r="H426" s="37">
        <f t="shared" si="335"/>
        <v>423</v>
      </c>
      <c r="I426" s="37"/>
    </row>
    <row r="427" spans="1:9">
      <c r="A427" s="37" t="s">
        <v>1799</v>
      </c>
      <c r="B427" s="37" t="s">
        <v>1800</v>
      </c>
      <c r="C427" s="74">
        <f t="shared" ref="C427:E427" si="397">C409</f>
        <v>0</v>
      </c>
      <c r="D427" s="74">
        <f t="shared" si="397"/>
        <v>0</v>
      </c>
      <c r="E427" s="74">
        <f t="shared" si="397"/>
        <v>3</v>
      </c>
      <c r="F427" s="67" t="s">
        <v>230</v>
      </c>
      <c r="G427" s="67" t="s">
        <v>1052</v>
      </c>
      <c r="H427" s="37">
        <f t="shared" si="335"/>
        <v>424</v>
      </c>
      <c r="I427" s="37"/>
    </row>
    <row r="428" spans="1:9">
      <c r="A428" s="37" t="s">
        <v>1801</v>
      </c>
      <c r="B428" s="37" t="s">
        <v>1802</v>
      </c>
      <c r="C428" s="74">
        <f t="shared" ref="C428:E428" si="398">C410</f>
        <v>0</v>
      </c>
      <c r="D428" s="74">
        <f t="shared" si="398"/>
        <v>0</v>
      </c>
      <c r="E428" s="74">
        <f t="shared" si="398"/>
        <v>3</v>
      </c>
      <c r="F428" s="67" t="s">
        <v>230</v>
      </c>
      <c r="G428" s="67" t="s">
        <v>1052</v>
      </c>
      <c r="H428" s="37">
        <f t="shared" si="335"/>
        <v>425</v>
      </c>
      <c r="I428" s="37"/>
    </row>
    <row r="429" spans="1:9">
      <c r="A429" s="37" t="s">
        <v>1803</v>
      </c>
      <c r="B429" s="37" t="s">
        <v>2676</v>
      </c>
      <c r="C429" s="74">
        <f t="shared" ref="C429:E429" si="399">C411</f>
        <v>0</v>
      </c>
      <c r="D429" s="74">
        <f t="shared" si="399"/>
        <v>0</v>
      </c>
      <c r="E429" s="74">
        <f t="shared" si="399"/>
        <v>1</v>
      </c>
      <c r="F429" s="67" t="s">
        <v>230</v>
      </c>
      <c r="G429" s="67" t="s">
        <v>1052</v>
      </c>
      <c r="H429" s="37">
        <f t="shared" si="335"/>
        <v>426</v>
      </c>
      <c r="I429" s="37"/>
    </row>
    <row r="430" spans="1:9">
      <c r="A430" s="37" t="s">
        <v>1804</v>
      </c>
      <c r="B430" s="37" t="s">
        <v>1805</v>
      </c>
      <c r="C430" s="74">
        <f t="shared" ref="C430:E430" si="400">C412</f>
        <v>0</v>
      </c>
      <c r="D430" s="74">
        <f t="shared" si="400"/>
        <v>0</v>
      </c>
      <c r="E430" s="74">
        <f t="shared" si="400"/>
        <v>1</v>
      </c>
      <c r="F430" s="67" t="s">
        <v>230</v>
      </c>
      <c r="G430" s="67" t="s">
        <v>1052</v>
      </c>
      <c r="H430" s="37">
        <f t="shared" ref="H430:H493" si="401">ROW()-3</f>
        <v>427</v>
      </c>
      <c r="I430" s="37"/>
    </row>
    <row r="431" spans="1:9">
      <c r="A431" s="37" t="s">
        <v>1806</v>
      </c>
      <c r="B431" s="37" t="s">
        <v>1807</v>
      </c>
      <c r="C431" s="74">
        <f t="shared" ref="C431:E431" si="402">C413</f>
        <v>0</v>
      </c>
      <c r="D431" s="74">
        <f t="shared" si="402"/>
        <v>0</v>
      </c>
      <c r="E431" s="74">
        <f t="shared" si="402"/>
        <v>4</v>
      </c>
      <c r="F431" s="67" t="s">
        <v>230</v>
      </c>
      <c r="G431" s="67" t="s">
        <v>1052</v>
      </c>
      <c r="H431" s="37">
        <f t="shared" si="401"/>
        <v>428</v>
      </c>
      <c r="I431" s="37"/>
    </row>
    <row r="432" spans="1:9">
      <c r="A432" s="37" t="s">
        <v>1808</v>
      </c>
      <c r="B432" s="37" t="s">
        <v>1809</v>
      </c>
      <c r="C432" s="74" t="str">
        <f t="shared" ref="C432:E432" si="403">C414</f>
        <v>(空文字)</v>
      </c>
      <c r="D432" s="74" t="str">
        <f t="shared" si="403"/>
        <v>(空文字)</v>
      </c>
      <c r="E432" s="74" t="str">
        <f t="shared" si="403"/>
        <v>(空文字)</v>
      </c>
      <c r="F432" s="67" t="s">
        <v>230</v>
      </c>
      <c r="G432" s="67" t="s">
        <v>1052</v>
      </c>
      <c r="H432" s="37">
        <f t="shared" si="401"/>
        <v>429</v>
      </c>
      <c r="I432" s="37"/>
    </row>
    <row r="433" spans="1:9">
      <c r="A433" s="37" t="s">
        <v>1810</v>
      </c>
      <c r="B433" s="37" t="s">
        <v>1811</v>
      </c>
      <c r="C433" s="74" t="str">
        <f t="shared" ref="C433:E433" si="404">C415</f>
        <v>(空文字)</v>
      </c>
      <c r="D433" s="74" t="str">
        <f t="shared" si="404"/>
        <v>(空文字)</v>
      </c>
      <c r="E433" s="74" t="str">
        <f t="shared" si="404"/>
        <v>(空文字)</v>
      </c>
      <c r="F433" s="67" t="s">
        <v>230</v>
      </c>
      <c r="G433" s="67" t="s">
        <v>1052</v>
      </c>
      <c r="H433" s="37">
        <f t="shared" si="401"/>
        <v>430</v>
      </c>
      <c r="I433" s="37"/>
    </row>
    <row r="434" spans="1:9">
      <c r="A434" s="37" t="s">
        <v>1812</v>
      </c>
      <c r="B434" s="37" t="s">
        <v>1813</v>
      </c>
      <c r="C434" s="74">
        <f t="shared" ref="C434:E434" si="405">C416</f>
        <v>0</v>
      </c>
      <c r="D434" s="74">
        <f t="shared" si="405"/>
        <v>0</v>
      </c>
      <c r="E434" s="74">
        <f t="shared" si="405"/>
        <v>3</v>
      </c>
      <c r="F434" s="67" t="s">
        <v>230</v>
      </c>
      <c r="G434" s="67" t="s">
        <v>1052</v>
      </c>
      <c r="H434" s="37">
        <f t="shared" si="401"/>
        <v>431</v>
      </c>
      <c r="I434" s="37"/>
    </row>
    <row r="435" spans="1:9">
      <c r="A435" s="37" t="s">
        <v>3938</v>
      </c>
      <c r="B435" s="37" t="s">
        <v>4012</v>
      </c>
      <c r="C435" s="74">
        <f t="shared" ref="C435:E435" si="406">C417</f>
        <v>10000</v>
      </c>
      <c r="D435" s="74">
        <f t="shared" si="406"/>
        <v>1000</v>
      </c>
      <c r="E435" s="74">
        <f t="shared" si="406"/>
        <v>99999000</v>
      </c>
      <c r="F435" s="67" t="s">
        <v>230</v>
      </c>
      <c r="G435" s="67" t="s">
        <v>1052</v>
      </c>
      <c r="H435" s="37">
        <f t="shared" si="401"/>
        <v>432</v>
      </c>
      <c r="I435" s="37"/>
    </row>
    <row r="436" spans="1:9">
      <c r="A436" s="37" t="s">
        <v>4092</v>
      </c>
      <c r="B436" s="37" t="s">
        <v>4013</v>
      </c>
      <c r="C436" s="74">
        <f t="shared" ref="C436:E436" si="407">C418</f>
        <v>0</v>
      </c>
      <c r="D436" s="74">
        <f t="shared" si="407"/>
        <v>0</v>
      </c>
      <c r="E436" s="74">
        <f t="shared" si="407"/>
        <v>1</v>
      </c>
      <c r="F436" s="67" t="s">
        <v>230</v>
      </c>
      <c r="G436" s="67" t="s">
        <v>1052</v>
      </c>
      <c r="H436" s="37">
        <f t="shared" si="401"/>
        <v>433</v>
      </c>
      <c r="I436" s="37"/>
    </row>
    <row r="437" spans="1:9">
      <c r="A437" s="37" t="s">
        <v>1814</v>
      </c>
      <c r="B437" s="37" t="s">
        <v>1815</v>
      </c>
      <c r="C437" s="92">
        <f t="shared" si="388"/>
        <v>208</v>
      </c>
      <c r="D437" s="74">
        <f t="shared" ref="D437:E437" si="408">D419</f>
        <v>1</v>
      </c>
      <c r="E437" s="74">
        <f t="shared" si="408"/>
        <v>4096</v>
      </c>
      <c r="F437" s="67" t="s">
        <v>230</v>
      </c>
      <c r="G437" s="67" t="s">
        <v>230</v>
      </c>
      <c r="H437" s="37">
        <f t="shared" si="401"/>
        <v>434</v>
      </c>
      <c r="I437" s="37"/>
    </row>
    <row r="438" spans="1:9">
      <c r="A438" s="37" t="s">
        <v>1816</v>
      </c>
      <c r="B438" s="37" t="s">
        <v>1817</v>
      </c>
      <c r="C438" s="74" t="str">
        <f t="shared" ref="C438:E438" si="409">C420</f>
        <v>0x00000000</v>
      </c>
      <c r="D438" s="74" t="str">
        <f t="shared" si="409"/>
        <v>0x80000000</v>
      </c>
      <c r="E438" s="74" t="str">
        <f t="shared" si="409"/>
        <v>0x7fffffff</v>
      </c>
      <c r="F438" s="67" t="s">
        <v>230</v>
      </c>
      <c r="G438" s="67" t="s">
        <v>1052</v>
      </c>
      <c r="H438" s="37">
        <f t="shared" si="401"/>
        <v>435</v>
      </c>
      <c r="I438" s="37"/>
    </row>
    <row r="439" spans="1:9">
      <c r="A439" s="37" t="s">
        <v>1818</v>
      </c>
      <c r="B439" s="37" t="s">
        <v>1819</v>
      </c>
      <c r="C439" s="74">
        <f t="shared" ref="C439:E439" si="410">C421</f>
        <v>0</v>
      </c>
      <c r="D439" s="74">
        <f t="shared" si="410"/>
        <v>0</v>
      </c>
      <c r="E439" s="74">
        <f t="shared" si="410"/>
        <v>65535</v>
      </c>
      <c r="F439" s="67" t="s">
        <v>230</v>
      </c>
      <c r="G439" s="67" t="s">
        <v>1052</v>
      </c>
      <c r="H439" s="37">
        <f t="shared" si="401"/>
        <v>436</v>
      </c>
      <c r="I439" s="37"/>
    </row>
    <row r="440" spans="1:9">
      <c r="A440" s="37" t="s">
        <v>1820</v>
      </c>
      <c r="B440" s="37" t="s">
        <v>1821</v>
      </c>
      <c r="C440" s="74">
        <f t="shared" ref="C440:E440" si="411">C422</f>
        <v>1</v>
      </c>
      <c r="D440" s="74">
        <f t="shared" si="411"/>
        <v>0</v>
      </c>
      <c r="E440" s="74">
        <f t="shared" si="411"/>
        <v>1</v>
      </c>
      <c r="F440" s="67" t="s">
        <v>230</v>
      </c>
      <c r="G440" s="67" t="s">
        <v>1052</v>
      </c>
      <c r="H440" s="37">
        <f t="shared" si="401"/>
        <v>437</v>
      </c>
      <c r="I440" s="37"/>
    </row>
    <row r="441" spans="1:9">
      <c r="A441" s="37" t="s">
        <v>1822</v>
      </c>
      <c r="B441" s="37" t="s">
        <v>1823</v>
      </c>
      <c r="C441" s="74">
        <f t="shared" ref="C441:E441" si="412">C423</f>
        <v>0</v>
      </c>
      <c r="D441" s="74">
        <f t="shared" si="412"/>
        <v>0</v>
      </c>
      <c r="E441" s="74">
        <f t="shared" si="412"/>
        <v>65535</v>
      </c>
      <c r="F441" s="67" t="s">
        <v>230</v>
      </c>
      <c r="G441" s="67" t="s">
        <v>1052</v>
      </c>
      <c r="H441" s="37">
        <f t="shared" si="401"/>
        <v>438</v>
      </c>
      <c r="I441" s="37"/>
    </row>
    <row r="442" spans="1:9">
      <c r="A442" s="37" t="s">
        <v>1824</v>
      </c>
      <c r="B442" s="37" t="s">
        <v>1825</v>
      </c>
      <c r="C442" s="74">
        <f t="shared" ref="C442:E442" si="413">C424</f>
        <v>0</v>
      </c>
      <c r="D442" s="74">
        <f t="shared" si="413"/>
        <v>0</v>
      </c>
      <c r="E442" s="74">
        <f t="shared" si="413"/>
        <v>1</v>
      </c>
      <c r="F442" s="67" t="s">
        <v>230</v>
      </c>
      <c r="G442" s="67" t="s">
        <v>1052</v>
      </c>
      <c r="H442" s="37">
        <f t="shared" si="401"/>
        <v>439</v>
      </c>
      <c r="I442" s="37"/>
    </row>
    <row r="443" spans="1:9">
      <c r="A443" s="37" t="s">
        <v>1826</v>
      </c>
      <c r="B443" s="37" t="s">
        <v>1827</v>
      </c>
      <c r="C443" s="74">
        <f t="shared" ref="C443:E443" si="414">C425</f>
        <v>1</v>
      </c>
      <c r="D443" s="74">
        <f t="shared" si="414"/>
        <v>0</v>
      </c>
      <c r="E443" s="74">
        <f t="shared" si="414"/>
        <v>2</v>
      </c>
      <c r="F443" s="67" t="s">
        <v>230</v>
      </c>
      <c r="G443" s="67" t="s">
        <v>1052</v>
      </c>
      <c r="H443" s="37">
        <f t="shared" si="401"/>
        <v>440</v>
      </c>
      <c r="I443" s="37"/>
    </row>
    <row r="444" spans="1:9">
      <c r="A444" s="37" t="s">
        <v>1828</v>
      </c>
      <c r="B444" s="37" t="s">
        <v>1829</v>
      </c>
      <c r="C444" s="74">
        <f t="shared" ref="C444:E444" si="415">C426</f>
        <v>0</v>
      </c>
      <c r="D444" s="74">
        <f t="shared" si="415"/>
        <v>0</v>
      </c>
      <c r="E444" s="74">
        <f t="shared" si="415"/>
        <v>3</v>
      </c>
      <c r="F444" s="67" t="s">
        <v>230</v>
      </c>
      <c r="G444" s="67" t="s">
        <v>1052</v>
      </c>
      <c r="H444" s="37">
        <f t="shared" si="401"/>
        <v>441</v>
      </c>
      <c r="I444" s="37"/>
    </row>
    <row r="445" spans="1:9">
      <c r="A445" s="37" t="s">
        <v>1830</v>
      </c>
      <c r="B445" s="37" t="s">
        <v>1831</v>
      </c>
      <c r="C445" s="74">
        <f t="shared" ref="C445:E445" si="416">C427</f>
        <v>0</v>
      </c>
      <c r="D445" s="74">
        <f t="shared" si="416"/>
        <v>0</v>
      </c>
      <c r="E445" s="74">
        <f t="shared" si="416"/>
        <v>3</v>
      </c>
      <c r="F445" s="67" t="s">
        <v>230</v>
      </c>
      <c r="G445" s="67" t="s">
        <v>1052</v>
      </c>
      <c r="H445" s="37">
        <f t="shared" si="401"/>
        <v>442</v>
      </c>
      <c r="I445" s="37"/>
    </row>
    <row r="446" spans="1:9">
      <c r="A446" s="37" t="s">
        <v>1832</v>
      </c>
      <c r="B446" s="37" t="s">
        <v>1833</v>
      </c>
      <c r="C446" s="74">
        <f t="shared" ref="C446:E446" si="417">C428</f>
        <v>0</v>
      </c>
      <c r="D446" s="74">
        <f t="shared" si="417"/>
        <v>0</v>
      </c>
      <c r="E446" s="74">
        <f t="shared" si="417"/>
        <v>3</v>
      </c>
      <c r="F446" s="67" t="s">
        <v>230</v>
      </c>
      <c r="G446" s="67" t="s">
        <v>1052</v>
      </c>
      <c r="H446" s="37">
        <f t="shared" si="401"/>
        <v>443</v>
      </c>
      <c r="I446" s="37"/>
    </row>
    <row r="447" spans="1:9">
      <c r="A447" s="37" t="s">
        <v>1834</v>
      </c>
      <c r="B447" s="37" t="s">
        <v>2677</v>
      </c>
      <c r="C447" s="74">
        <f t="shared" ref="C447:E447" si="418">C429</f>
        <v>0</v>
      </c>
      <c r="D447" s="74">
        <f t="shared" si="418"/>
        <v>0</v>
      </c>
      <c r="E447" s="74">
        <f t="shared" si="418"/>
        <v>1</v>
      </c>
      <c r="F447" s="67" t="s">
        <v>230</v>
      </c>
      <c r="G447" s="67" t="s">
        <v>1052</v>
      </c>
      <c r="H447" s="37">
        <f t="shared" si="401"/>
        <v>444</v>
      </c>
      <c r="I447" s="37"/>
    </row>
    <row r="448" spans="1:9">
      <c r="A448" s="37" t="s">
        <v>1835</v>
      </c>
      <c r="B448" s="37" t="s">
        <v>1836</v>
      </c>
      <c r="C448" s="74">
        <f t="shared" ref="C448:E448" si="419">C430</f>
        <v>0</v>
      </c>
      <c r="D448" s="74">
        <f t="shared" si="419"/>
        <v>0</v>
      </c>
      <c r="E448" s="74">
        <f t="shared" si="419"/>
        <v>1</v>
      </c>
      <c r="F448" s="67" t="s">
        <v>230</v>
      </c>
      <c r="G448" s="67" t="s">
        <v>1052</v>
      </c>
      <c r="H448" s="37">
        <f t="shared" si="401"/>
        <v>445</v>
      </c>
      <c r="I448" s="37"/>
    </row>
    <row r="449" spans="1:9">
      <c r="A449" s="37" t="s">
        <v>1837</v>
      </c>
      <c r="B449" s="37" t="s">
        <v>1838</v>
      </c>
      <c r="C449" s="74">
        <f t="shared" ref="C449:E449" si="420">C431</f>
        <v>0</v>
      </c>
      <c r="D449" s="74">
        <f t="shared" si="420"/>
        <v>0</v>
      </c>
      <c r="E449" s="74">
        <f t="shared" si="420"/>
        <v>4</v>
      </c>
      <c r="F449" s="67" t="s">
        <v>230</v>
      </c>
      <c r="G449" s="67" t="s">
        <v>1052</v>
      </c>
      <c r="H449" s="37">
        <f t="shared" si="401"/>
        <v>446</v>
      </c>
      <c r="I449" s="37"/>
    </row>
    <row r="450" spans="1:9">
      <c r="A450" s="37" t="s">
        <v>1839</v>
      </c>
      <c r="B450" s="37" t="s">
        <v>1840</v>
      </c>
      <c r="C450" s="74" t="str">
        <f t="shared" ref="C450:E450" si="421">C432</f>
        <v>(空文字)</v>
      </c>
      <c r="D450" s="74" t="str">
        <f t="shared" si="421"/>
        <v>(空文字)</v>
      </c>
      <c r="E450" s="74" t="str">
        <f t="shared" si="421"/>
        <v>(空文字)</v>
      </c>
      <c r="F450" s="67" t="s">
        <v>230</v>
      </c>
      <c r="G450" s="67" t="s">
        <v>1052</v>
      </c>
      <c r="H450" s="37">
        <f t="shared" si="401"/>
        <v>447</v>
      </c>
      <c r="I450" s="37"/>
    </row>
    <row r="451" spans="1:9">
      <c r="A451" s="37" t="s">
        <v>1841</v>
      </c>
      <c r="B451" s="37" t="s">
        <v>1842</v>
      </c>
      <c r="C451" s="74" t="str">
        <f t="shared" ref="C451:E451" si="422">C433</f>
        <v>(空文字)</v>
      </c>
      <c r="D451" s="74" t="str">
        <f t="shared" si="422"/>
        <v>(空文字)</v>
      </c>
      <c r="E451" s="74" t="str">
        <f t="shared" si="422"/>
        <v>(空文字)</v>
      </c>
      <c r="F451" s="67" t="s">
        <v>230</v>
      </c>
      <c r="G451" s="67" t="s">
        <v>1052</v>
      </c>
      <c r="H451" s="37">
        <f t="shared" si="401"/>
        <v>448</v>
      </c>
      <c r="I451" s="37"/>
    </row>
    <row r="452" spans="1:9">
      <c r="A452" s="37" t="s">
        <v>1843</v>
      </c>
      <c r="B452" s="37" t="s">
        <v>1844</v>
      </c>
      <c r="C452" s="74">
        <f t="shared" ref="C452:E452" si="423">C434</f>
        <v>0</v>
      </c>
      <c r="D452" s="74">
        <f t="shared" si="423"/>
        <v>0</v>
      </c>
      <c r="E452" s="74">
        <f t="shared" si="423"/>
        <v>3</v>
      </c>
      <c r="F452" s="67" t="s">
        <v>230</v>
      </c>
      <c r="G452" s="67" t="s">
        <v>1052</v>
      </c>
      <c r="H452" s="37">
        <f t="shared" si="401"/>
        <v>449</v>
      </c>
      <c r="I452" s="37"/>
    </row>
    <row r="453" spans="1:9">
      <c r="A453" s="37" t="s">
        <v>3939</v>
      </c>
      <c r="B453" s="37" t="s">
        <v>4014</v>
      </c>
      <c r="C453" s="74">
        <f t="shared" ref="C453:E453" si="424">C435</f>
        <v>10000</v>
      </c>
      <c r="D453" s="74">
        <f t="shared" si="424"/>
        <v>1000</v>
      </c>
      <c r="E453" s="74">
        <f t="shared" si="424"/>
        <v>99999000</v>
      </c>
      <c r="F453" s="67" t="s">
        <v>230</v>
      </c>
      <c r="G453" s="67" t="s">
        <v>1052</v>
      </c>
      <c r="H453" s="37">
        <f t="shared" si="401"/>
        <v>450</v>
      </c>
      <c r="I453" s="37"/>
    </row>
    <row r="454" spans="1:9">
      <c r="A454" s="37" t="s">
        <v>4093</v>
      </c>
      <c r="B454" s="37" t="s">
        <v>4015</v>
      </c>
      <c r="C454" s="74">
        <f t="shared" ref="C454:E454" si="425">C436</f>
        <v>0</v>
      </c>
      <c r="D454" s="74">
        <f t="shared" si="425"/>
        <v>0</v>
      </c>
      <c r="E454" s="74">
        <f t="shared" si="425"/>
        <v>1</v>
      </c>
      <c r="F454" s="67" t="s">
        <v>230</v>
      </c>
      <c r="G454" s="67" t="s">
        <v>1052</v>
      </c>
      <c r="H454" s="37">
        <f t="shared" si="401"/>
        <v>451</v>
      </c>
      <c r="I454" s="37"/>
    </row>
    <row r="455" spans="1:9">
      <c r="A455" s="37" t="s">
        <v>1845</v>
      </c>
      <c r="B455" s="37" t="s">
        <v>1846</v>
      </c>
      <c r="C455" s="92">
        <f t="shared" si="388"/>
        <v>209</v>
      </c>
      <c r="D455" s="74">
        <f t="shared" ref="D455:E455" si="426">D437</f>
        <v>1</v>
      </c>
      <c r="E455" s="74">
        <f t="shared" si="426"/>
        <v>4096</v>
      </c>
      <c r="F455" s="67" t="s">
        <v>230</v>
      </c>
      <c r="G455" s="67" t="s">
        <v>230</v>
      </c>
      <c r="H455" s="37">
        <f t="shared" si="401"/>
        <v>452</v>
      </c>
      <c r="I455" s="37"/>
    </row>
    <row r="456" spans="1:9">
      <c r="A456" s="37" t="s">
        <v>1847</v>
      </c>
      <c r="B456" s="37" t="s">
        <v>1848</v>
      </c>
      <c r="C456" s="74" t="str">
        <f t="shared" ref="C456:E456" si="427">C438</f>
        <v>0x00000000</v>
      </c>
      <c r="D456" s="74" t="str">
        <f t="shared" si="427"/>
        <v>0x80000000</v>
      </c>
      <c r="E456" s="74" t="str">
        <f t="shared" si="427"/>
        <v>0x7fffffff</v>
      </c>
      <c r="F456" s="67" t="s">
        <v>230</v>
      </c>
      <c r="G456" s="67" t="s">
        <v>1052</v>
      </c>
      <c r="H456" s="37">
        <f t="shared" si="401"/>
        <v>453</v>
      </c>
      <c r="I456" s="37"/>
    </row>
    <row r="457" spans="1:9">
      <c r="A457" s="37" t="s">
        <v>1849</v>
      </c>
      <c r="B457" s="37" t="s">
        <v>1850</v>
      </c>
      <c r="C457" s="74">
        <f t="shared" ref="C457:E457" si="428">C439</f>
        <v>0</v>
      </c>
      <c r="D457" s="74">
        <f t="shared" si="428"/>
        <v>0</v>
      </c>
      <c r="E457" s="74">
        <f t="shared" si="428"/>
        <v>65535</v>
      </c>
      <c r="F457" s="67" t="s">
        <v>230</v>
      </c>
      <c r="G457" s="67" t="s">
        <v>1052</v>
      </c>
      <c r="H457" s="37">
        <f t="shared" si="401"/>
        <v>454</v>
      </c>
      <c r="I457" s="37"/>
    </row>
    <row r="458" spans="1:9">
      <c r="A458" s="37" t="s">
        <v>1851</v>
      </c>
      <c r="B458" s="37" t="s">
        <v>1852</v>
      </c>
      <c r="C458" s="74">
        <f t="shared" ref="C458:E458" si="429">C440</f>
        <v>1</v>
      </c>
      <c r="D458" s="74">
        <f t="shared" si="429"/>
        <v>0</v>
      </c>
      <c r="E458" s="74">
        <f t="shared" si="429"/>
        <v>1</v>
      </c>
      <c r="F458" s="67" t="s">
        <v>230</v>
      </c>
      <c r="G458" s="67" t="s">
        <v>1052</v>
      </c>
      <c r="H458" s="37">
        <f t="shared" si="401"/>
        <v>455</v>
      </c>
      <c r="I458" s="37"/>
    </row>
    <row r="459" spans="1:9">
      <c r="A459" s="37" t="s">
        <v>1853</v>
      </c>
      <c r="B459" s="37" t="s">
        <v>1854</v>
      </c>
      <c r="C459" s="74">
        <f t="shared" ref="C459:E459" si="430">C441</f>
        <v>0</v>
      </c>
      <c r="D459" s="74">
        <f t="shared" si="430"/>
        <v>0</v>
      </c>
      <c r="E459" s="74">
        <f t="shared" si="430"/>
        <v>65535</v>
      </c>
      <c r="F459" s="67" t="s">
        <v>230</v>
      </c>
      <c r="G459" s="67" t="s">
        <v>1052</v>
      </c>
      <c r="H459" s="37">
        <f t="shared" si="401"/>
        <v>456</v>
      </c>
      <c r="I459" s="37"/>
    </row>
    <row r="460" spans="1:9">
      <c r="A460" s="37" t="s">
        <v>1855</v>
      </c>
      <c r="B460" s="37" t="s">
        <v>1856</v>
      </c>
      <c r="C460" s="74">
        <f t="shared" ref="C460:E460" si="431">C442</f>
        <v>0</v>
      </c>
      <c r="D460" s="74">
        <f t="shared" si="431"/>
        <v>0</v>
      </c>
      <c r="E460" s="74">
        <f t="shared" si="431"/>
        <v>1</v>
      </c>
      <c r="F460" s="67" t="s">
        <v>230</v>
      </c>
      <c r="G460" s="67" t="s">
        <v>1052</v>
      </c>
      <c r="H460" s="37">
        <f t="shared" si="401"/>
        <v>457</v>
      </c>
      <c r="I460" s="37"/>
    </row>
    <row r="461" spans="1:9">
      <c r="A461" s="37" t="s">
        <v>1857</v>
      </c>
      <c r="B461" s="37" t="s">
        <v>1858</v>
      </c>
      <c r="C461" s="74">
        <f t="shared" ref="C461:E461" si="432">C443</f>
        <v>1</v>
      </c>
      <c r="D461" s="74">
        <f t="shared" si="432"/>
        <v>0</v>
      </c>
      <c r="E461" s="74">
        <f t="shared" si="432"/>
        <v>2</v>
      </c>
      <c r="F461" s="67" t="s">
        <v>230</v>
      </c>
      <c r="G461" s="67" t="s">
        <v>1052</v>
      </c>
      <c r="H461" s="37">
        <f t="shared" si="401"/>
        <v>458</v>
      </c>
      <c r="I461" s="37"/>
    </row>
    <row r="462" spans="1:9">
      <c r="A462" s="37" t="s">
        <v>1859</v>
      </c>
      <c r="B462" s="37" t="s">
        <v>1860</v>
      </c>
      <c r="C462" s="74">
        <f t="shared" ref="C462:E462" si="433">C444</f>
        <v>0</v>
      </c>
      <c r="D462" s="74">
        <f t="shared" si="433"/>
        <v>0</v>
      </c>
      <c r="E462" s="74">
        <f t="shared" si="433"/>
        <v>3</v>
      </c>
      <c r="F462" s="67" t="s">
        <v>230</v>
      </c>
      <c r="G462" s="67" t="s">
        <v>1052</v>
      </c>
      <c r="H462" s="37">
        <f t="shared" si="401"/>
        <v>459</v>
      </c>
      <c r="I462" s="37"/>
    </row>
    <row r="463" spans="1:9">
      <c r="A463" s="37" t="s">
        <v>1861</v>
      </c>
      <c r="B463" s="37" t="s">
        <v>1862</v>
      </c>
      <c r="C463" s="74">
        <f t="shared" ref="C463:E463" si="434">C445</f>
        <v>0</v>
      </c>
      <c r="D463" s="74">
        <f t="shared" si="434"/>
        <v>0</v>
      </c>
      <c r="E463" s="74">
        <f t="shared" si="434"/>
        <v>3</v>
      </c>
      <c r="F463" s="67" t="s">
        <v>230</v>
      </c>
      <c r="G463" s="67" t="s">
        <v>1052</v>
      </c>
      <c r="H463" s="37">
        <f t="shared" si="401"/>
        <v>460</v>
      </c>
      <c r="I463" s="37"/>
    </row>
    <row r="464" spans="1:9">
      <c r="A464" s="37" t="s">
        <v>1863</v>
      </c>
      <c r="B464" s="37" t="s">
        <v>1864</v>
      </c>
      <c r="C464" s="74">
        <f t="shared" ref="C464:E464" si="435">C446</f>
        <v>0</v>
      </c>
      <c r="D464" s="74">
        <f t="shared" si="435"/>
        <v>0</v>
      </c>
      <c r="E464" s="74">
        <f t="shared" si="435"/>
        <v>3</v>
      </c>
      <c r="F464" s="67" t="s">
        <v>230</v>
      </c>
      <c r="G464" s="67" t="s">
        <v>1052</v>
      </c>
      <c r="H464" s="37">
        <f t="shared" si="401"/>
        <v>461</v>
      </c>
      <c r="I464" s="37"/>
    </row>
    <row r="465" spans="1:9">
      <c r="A465" s="37" t="s">
        <v>1865</v>
      </c>
      <c r="B465" s="37" t="s">
        <v>2678</v>
      </c>
      <c r="C465" s="74">
        <f t="shared" ref="C465:E465" si="436">C447</f>
        <v>0</v>
      </c>
      <c r="D465" s="74">
        <f t="shared" si="436"/>
        <v>0</v>
      </c>
      <c r="E465" s="74">
        <f t="shared" si="436"/>
        <v>1</v>
      </c>
      <c r="F465" s="67" t="s">
        <v>230</v>
      </c>
      <c r="G465" s="67" t="s">
        <v>1052</v>
      </c>
      <c r="H465" s="37">
        <f t="shared" si="401"/>
        <v>462</v>
      </c>
      <c r="I465" s="37"/>
    </row>
    <row r="466" spans="1:9">
      <c r="A466" s="37" t="s">
        <v>1866</v>
      </c>
      <c r="B466" s="37" t="s">
        <v>1867</v>
      </c>
      <c r="C466" s="74">
        <f t="shared" ref="C466:E466" si="437">C448</f>
        <v>0</v>
      </c>
      <c r="D466" s="74">
        <f t="shared" si="437"/>
        <v>0</v>
      </c>
      <c r="E466" s="74">
        <f t="shared" si="437"/>
        <v>1</v>
      </c>
      <c r="F466" s="67" t="s">
        <v>230</v>
      </c>
      <c r="G466" s="67" t="s">
        <v>1052</v>
      </c>
      <c r="H466" s="37">
        <f t="shared" si="401"/>
        <v>463</v>
      </c>
      <c r="I466" s="37"/>
    </row>
    <row r="467" spans="1:9">
      <c r="A467" s="37" t="s">
        <v>1868</v>
      </c>
      <c r="B467" s="37" t="s">
        <v>1869</v>
      </c>
      <c r="C467" s="74">
        <f t="shared" ref="C467:E467" si="438">C449</f>
        <v>0</v>
      </c>
      <c r="D467" s="74">
        <f t="shared" si="438"/>
        <v>0</v>
      </c>
      <c r="E467" s="74">
        <f t="shared" si="438"/>
        <v>4</v>
      </c>
      <c r="F467" s="67" t="s">
        <v>230</v>
      </c>
      <c r="G467" s="67" t="s">
        <v>1052</v>
      </c>
      <c r="H467" s="37">
        <f t="shared" si="401"/>
        <v>464</v>
      </c>
      <c r="I467" s="37"/>
    </row>
    <row r="468" spans="1:9">
      <c r="A468" s="37" t="s">
        <v>1870</v>
      </c>
      <c r="B468" s="37" t="s">
        <v>1871</v>
      </c>
      <c r="C468" s="74" t="str">
        <f t="shared" ref="C468:E468" si="439">C450</f>
        <v>(空文字)</v>
      </c>
      <c r="D468" s="74" t="str">
        <f t="shared" si="439"/>
        <v>(空文字)</v>
      </c>
      <c r="E468" s="74" t="str">
        <f t="shared" si="439"/>
        <v>(空文字)</v>
      </c>
      <c r="F468" s="67" t="s">
        <v>230</v>
      </c>
      <c r="G468" s="67" t="s">
        <v>1052</v>
      </c>
      <c r="H468" s="37">
        <f t="shared" si="401"/>
        <v>465</v>
      </c>
      <c r="I468" s="37"/>
    </row>
    <row r="469" spans="1:9">
      <c r="A469" s="37" t="s">
        <v>1872</v>
      </c>
      <c r="B469" s="37" t="s">
        <v>1873</v>
      </c>
      <c r="C469" s="74" t="str">
        <f t="shared" ref="C469:E469" si="440">C451</f>
        <v>(空文字)</v>
      </c>
      <c r="D469" s="74" t="str">
        <f t="shared" si="440"/>
        <v>(空文字)</v>
      </c>
      <c r="E469" s="74" t="str">
        <f t="shared" si="440"/>
        <v>(空文字)</v>
      </c>
      <c r="F469" s="67" t="s">
        <v>230</v>
      </c>
      <c r="G469" s="67" t="s">
        <v>1052</v>
      </c>
      <c r="H469" s="37">
        <f t="shared" si="401"/>
        <v>466</v>
      </c>
      <c r="I469" s="37"/>
    </row>
    <row r="470" spans="1:9">
      <c r="A470" s="37" t="s">
        <v>1874</v>
      </c>
      <c r="B470" s="37" t="s">
        <v>1875</v>
      </c>
      <c r="C470" s="74">
        <f t="shared" ref="C470:E470" si="441">C452</f>
        <v>0</v>
      </c>
      <c r="D470" s="74">
        <f t="shared" si="441"/>
        <v>0</v>
      </c>
      <c r="E470" s="74">
        <f t="shared" si="441"/>
        <v>3</v>
      </c>
      <c r="F470" s="67" t="s">
        <v>230</v>
      </c>
      <c r="G470" s="67" t="s">
        <v>1052</v>
      </c>
      <c r="H470" s="37">
        <f t="shared" si="401"/>
        <v>467</v>
      </c>
      <c r="I470" s="37"/>
    </row>
    <row r="471" spans="1:9">
      <c r="A471" s="37" t="s">
        <v>3940</v>
      </c>
      <c r="B471" s="37" t="s">
        <v>4016</v>
      </c>
      <c r="C471" s="74">
        <f t="shared" ref="C471:E471" si="442">C453</f>
        <v>10000</v>
      </c>
      <c r="D471" s="74">
        <f t="shared" si="442"/>
        <v>1000</v>
      </c>
      <c r="E471" s="74">
        <f t="shared" si="442"/>
        <v>99999000</v>
      </c>
      <c r="F471" s="67" t="s">
        <v>230</v>
      </c>
      <c r="G471" s="67" t="s">
        <v>1052</v>
      </c>
      <c r="H471" s="37">
        <f t="shared" si="401"/>
        <v>468</v>
      </c>
      <c r="I471" s="37"/>
    </row>
    <row r="472" spans="1:9">
      <c r="A472" s="37" t="s">
        <v>4094</v>
      </c>
      <c r="B472" s="37" t="s">
        <v>4017</v>
      </c>
      <c r="C472" s="74">
        <f t="shared" ref="C472:E472" si="443">C454</f>
        <v>0</v>
      </c>
      <c r="D472" s="74">
        <f t="shared" si="443"/>
        <v>0</v>
      </c>
      <c r="E472" s="74">
        <f t="shared" si="443"/>
        <v>1</v>
      </c>
      <c r="F472" s="67" t="s">
        <v>230</v>
      </c>
      <c r="G472" s="67" t="s">
        <v>1052</v>
      </c>
      <c r="H472" s="37">
        <f t="shared" si="401"/>
        <v>469</v>
      </c>
      <c r="I472" s="37"/>
    </row>
    <row r="473" spans="1:9">
      <c r="A473" s="37" t="s">
        <v>1876</v>
      </c>
      <c r="B473" s="37" t="s">
        <v>1877</v>
      </c>
      <c r="C473" s="92">
        <f t="shared" si="388"/>
        <v>210</v>
      </c>
      <c r="D473" s="74">
        <f t="shared" ref="D473:E473" si="444">D455</f>
        <v>1</v>
      </c>
      <c r="E473" s="74">
        <f t="shared" si="444"/>
        <v>4096</v>
      </c>
      <c r="F473" s="67" t="s">
        <v>230</v>
      </c>
      <c r="G473" s="67" t="s">
        <v>230</v>
      </c>
      <c r="H473" s="37">
        <f t="shared" si="401"/>
        <v>470</v>
      </c>
      <c r="I473" s="37"/>
    </row>
    <row r="474" spans="1:9">
      <c r="A474" s="37" t="s">
        <v>1878</v>
      </c>
      <c r="B474" s="37" t="s">
        <v>1879</v>
      </c>
      <c r="C474" s="74" t="str">
        <f t="shared" ref="C474:E474" si="445">C456</f>
        <v>0x00000000</v>
      </c>
      <c r="D474" s="74" t="str">
        <f t="shared" si="445"/>
        <v>0x80000000</v>
      </c>
      <c r="E474" s="74" t="str">
        <f t="shared" si="445"/>
        <v>0x7fffffff</v>
      </c>
      <c r="F474" s="67" t="s">
        <v>230</v>
      </c>
      <c r="G474" s="67" t="s">
        <v>1052</v>
      </c>
      <c r="H474" s="37">
        <f t="shared" si="401"/>
        <v>471</v>
      </c>
      <c r="I474" s="37"/>
    </row>
    <row r="475" spans="1:9">
      <c r="A475" s="37" t="s">
        <v>1880</v>
      </c>
      <c r="B475" s="37" t="s">
        <v>1881</v>
      </c>
      <c r="C475" s="74">
        <f t="shared" ref="C475:E475" si="446">C457</f>
        <v>0</v>
      </c>
      <c r="D475" s="74">
        <f t="shared" si="446"/>
        <v>0</v>
      </c>
      <c r="E475" s="74">
        <f t="shared" si="446"/>
        <v>65535</v>
      </c>
      <c r="F475" s="67" t="s">
        <v>230</v>
      </c>
      <c r="G475" s="67" t="s">
        <v>1052</v>
      </c>
      <c r="H475" s="37">
        <f t="shared" si="401"/>
        <v>472</v>
      </c>
      <c r="I475" s="37"/>
    </row>
    <row r="476" spans="1:9">
      <c r="A476" s="37" t="s">
        <v>1882</v>
      </c>
      <c r="B476" s="37" t="s">
        <v>1883</v>
      </c>
      <c r="C476" s="74">
        <f t="shared" ref="C476:E476" si="447">C458</f>
        <v>1</v>
      </c>
      <c r="D476" s="74">
        <f t="shared" si="447"/>
        <v>0</v>
      </c>
      <c r="E476" s="74">
        <f t="shared" si="447"/>
        <v>1</v>
      </c>
      <c r="F476" s="67" t="s">
        <v>230</v>
      </c>
      <c r="G476" s="67" t="s">
        <v>1052</v>
      </c>
      <c r="H476" s="37">
        <f t="shared" si="401"/>
        <v>473</v>
      </c>
      <c r="I476" s="37"/>
    </row>
    <row r="477" spans="1:9">
      <c r="A477" s="37" t="s">
        <v>1884</v>
      </c>
      <c r="B477" s="37" t="s">
        <v>1885</v>
      </c>
      <c r="C477" s="74">
        <f t="shared" ref="C477:E477" si="448">C459</f>
        <v>0</v>
      </c>
      <c r="D477" s="74">
        <f t="shared" si="448"/>
        <v>0</v>
      </c>
      <c r="E477" s="74">
        <f t="shared" si="448"/>
        <v>65535</v>
      </c>
      <c r="F477" s="67" t="s">
        <v>230</v>
      </c>
      <c r="G477" s="67" t="s">
        <v>1052</v>
      </c>
      <c r="H477" s="37">
        <f t="shared" si="401"/>
        <v>474</v>
      </c>
      <c r="I477" s="37"/>
    </row>
    <row r="478" spans="1:9">
      <c r="A478" s="37" t="s">
        <v>1886</v>
      </c>
      <c r="B478" s="37" t="s">
        <v>1887</v>
      </c>
      <c r="C478" s="74">
        <f t="shared" ref="C478:E478" si="449">C460</f>
        <v>0</v>
      </c>
      <c r="D478" s="74">
        <f t="shared" si="449"/>
        <v>0</v>
      </c>
      <c r="E478" s="74">
        <f t="shared" si="449"/>
        <v>1</v>
      </c>
      <c r="F478" s="67" t="s">
        <v>230</v>
      </c>
      <c r="G478" s="67" t="s">
        <v>1052</v>
      </c>
      <c r="H478" s="37">
        <f t="shared" si="401"/>
        <v>475</v>
      </c>
      <c r="I478" s="37"/>
    </row>
    <row r="479" spans="1:9">
      <c r="A479" s="37" t="s">
        <v>1888</v>
      </c>
      <c r="B479" s="37" t="s">
        <v>1889</v>
      </c>
      <c r="C479" s="74">
        <f t="shared" ref="C479:E479" si="450">C461</f>
        <v>1</v>
      </c>
      <c r="D479" s="74">
        <f t="shared" si="450"/>
        <v>0</v>
      </c>
      <c r="E479" s="74">
        <f t="shared" si="450"/>
        <v>2</v>
      </c>
      <c r="F479" s="67" t="s">
        <v>230</v>
      </c>
      <c r="G479" s="67" t="s">
        <v>1052</v>
      </c>
      <c r="H479" s="37">
        <f t="shared" si="401"/>
        <v>476</v>
      </c>
      <c r="I479" s="37"/>
    </row>
    <row r="480" spans="1:9">
      <c r="A480" s="37" t="s">
        <v>1890</v>
      </c>
      <c r="B480" s="37" t="s">
        <v>1891</v>
      </c>
      <c r="C480" s="74">
        <f t="shared" ref="C480:E480" si="451">C462</f>
        <v>0</v>
      </c>
      <c r="D480" s="74">
        <f t="shared" si="451"/>
        <v>0</v>
      </c>
      <c r="E480" s="74">
        <f t="shared" si="451"/>
        <v>3</v>
      </c>
      <c r="F480" s="67" t="s">
        <v>230</v>
      </c>
      <c r="G480" s="67" t="s">
        <v>1052</v>
      </c>
      <c r="H480" s="37">
        <f t="shared" si="401"/>
        <v>477</v>
      </c>
      <c r="I480" s="37"/>
    </row>
    <row r="481" spans="1:9">
      <c r="A481" s="37" t="s">
        <v>1892</v>
      </c>
      <c r="B481" s="37" t="s">
        <v>1893</v>
      </c>
      <c r="C481" s="74">
        <f t="shared" ref="C481:E481" si="452">C463</f>
        <v>0</v>
      </c>
      <c r="D481" s="74">
        <f t="shared" si="452"/>
        <v>0</v>
      </c>
      <c r="E481" s="74">
        <f t="shared" si="452"/>
        <v>3</v>
      </c>
      <c r="F481" s="67" t="s">
        <v>230</v>
      </c>
      <c r="G481" s="67" t="s">
        <v>1052</v>
      </c>
      <c r="H481" s="37">
        <f t="shared" si="401"/>
        <v>478</v>
      </c>
      <c r="I481" s="37"/>
    </row>
    <row r="482" spans="1:9">
      <c r="A482" s="37" t="s">
        <v>1894</v>
      </c>
      <c r="B482" s="37" t="s">
        <v>1895</v>
      </c>
      <c r="C482" s="74">
        <f t="shared" ref="C482:E482" si="453">C464</f>
        <v>0</v>
      </c>
      <c r="D482" s="74">
        <f t="shared" si="453"/>
        <v>0</v>
      </c>
      <c r="E482" s="74">
        <f t="shared" si="453"/>
        <v>3</v>
      </c>
      <c r="F482" s="67" t="s">
        <v>230</v>
      </c>
      <c r="G482" s="67" t="s">
        <v>1052</v>
      </c>
      <c r="H482" s="37">
        <f t="shared" si="401"/>
        <v>479</v>
      </c>
      <c r="I482" s="37"/>
    </row>
    <row r="483" spans="1:9">
      <c r="A483" s="37" t="s">
        <v>1896</v>
      </c>
      <c r="B483" s="37" t="s">
        <v>2679</v>
      </c>
      <c r="C483" s="74">
        <f t="shared" ref="C483:E483" si="454">C465</f>
        <v>0</v>
      </c>
      <c r="D483" s="74">
        <f t="shared" si="454"/>
        <v>0</v>
      </c>
      <c r="E483" s="74">
        <f t="shared" si="454"/>
        <v>1</v>
      </c>
      <c r="F483" s="67" t="s">
        <v>230</v>
      </c>
      <c r="G483" s="67" t="s">
        <v>1052</v>
      </c>
      <c r="H483" s="37">
        <f t="shared" si="401"/>
        <v>480</v>
      </c>
      <c r="I483" s="37"/>
    </row>
    <row r="484" spans="1:9">
      <c r="A484" s="37" t="s">
        <v>1897</v>
      </c>
      <c r="B484" s="37" t="s">
        <v>1898</v>
      </c>
      <c r="C484" s="74">
        <f t="shared" ref="C484:E484" si="455">C466</f>
        <v>0</v>
      </c>
      <c r="D484" s="74">
        <f t="shared" si="455"/>
        <v>0</v>
      </c>
      <c r="E484" s="74">
        <f t="shared" si="455"/>
        <v>1</v>
      </c>
      <c r="F484" s="67" t="s">
        <v>230</v>
      </c>
      <c r="G484" s="67" t="s">
        <v>1052</v>
      </c>
      <c r="H484" s="37">
        <f t="shared" si="401"/>
        <v>481</v>
      </c>
      <c r="I484" s="37"/>
    </row>
    <row r="485" spans="1:9">
      <c r="A485" s="37" t="s">
        <v>1899</v>
      </c>
      <c r="B485" s="37" t="s">
        <v>1900</v>
      </c>
      <c r="C485" s="74">
        <f t="shared" ref="C485:E485" si="456">C467</f>
        <v>0</v>
      </c>
      <c r="D485" s="74">
        <f t="shared" si="456"/>
        <v>0</v>
      </c>
      <c r="E485" s="74">
        <f t="shared" si="456"/>
        <v>4</v>
      </c>
      <c r="F485" s="67" t="s">
        <v>230</v>
      </c>
      <c r="G485" s="67" t="s">
        <v>1052</v>
      </c>
      <c r="H485" s="37">
        <f t="shared" si="401"/>
        <v>482</v>
      </c>
      <c r="I485" s="37"/>
    </row>
    <row r="486" spans="1:9">
      <c r="A486" s="37" t="s">
        <v>1901</v>
      </c>
      <c r="B486" s="37" t="s">
        <v>1902</v>
      </c>
      <c r="C486" s="74" t="str">
        <f t="shared" ref="C486:E486" si="457">C468</f>
        <v>(空文字)</v>
      </c>
      <c r="D486" s="74" t="str">
        <f t="shared" si="457"/>
        <v>(空文字)</v>
      </c>
      <c r="E486" s="74" t="str">
        <f t="shared" si="457"/>
        <v>(空文字)</v>
      </c>
      <c r="F486" s="67" t="s">
        <v>230</v>
      </c>
      <c r="G486" s="67" t="s">
        <v>1052</v>
      </c>
      <c r="H486" s="37">
        <f t="shared" si="401"/>
        <v>483</v>
      </c>
      <c r="I486" s="37"/>
    </row>
    <row r="487" spans="1:9">
      <c r="A487" s="37" t="s">
        <v>1903</v>
      </c>
      <c r="B487" s="37" t="s">
        <v>1904</v>
      </c>
      <c r="C487" s="74" t="str">
        <f t="shared" ref="C487:E487" si="458">C469</f>
        <v>(空文字)</v>
      </c>
      <c r="D487" s="74" t="str">
        <f t="shared" si="458"/>
        <v>(空文字)</v>
      </c>
      <c r="E487" s="74" t="str">
        <f t="shared" si="458"/>
        <v>(空文字)</v>
      </c>
      <c r="F487" s="67" t="s">
        <v>230</v>
      </c>
      <c r="G487" s="67" t="s">
        <v>1052</v>
      </c>
      <c r="H487" s="37">
        <f t="shared" si="401"/>
        <v>484</v>
      </c>
      <c r="I487" s="37"/>
    </row>
    <row r="488" spans="1:9">
      <c r="A488" s="37" t="s">
        <v>1905</v>
      </c>
      <c r="B488" s="37" t="s">
        <v>1906</v>
      </c>
      <c r="C488" s="74">
        <f t="shared" ref="C488:E488" si="459">C470</f>
        <v>0</v>
      </c>
      <c r="D488" s="74">
        <f t="shared" si="459"/>
        <v>0</v>
      </c>
      <c r="E488" s="74">
        <f t="shared" si="459"/>
        <v>3</v>
      </c>
      <c r="F488" s="67" t="s">
        <v>230</v>
      </c>
      <c r="G488" s="67" t="s">
        <v>1052</v>
      </c>
      <c r="H488" s="37">
        <f t="shared" si="401"/>
        <v>485</v>
      </c>
      <c r="I488" s="37"/>
    </row>
    <row r="489" spans="1:9">
      <c r="A489" s="37" t="s">
        <v>3941</v>
      </c>
      <c r="B489" s="37" t="s">
        <v>4018</v>
      </c>
      <c r="C489" s="74">
        <f t="shared" ref="C489:E489" si="460">C471</f>
        <v>10000</v>
      </c>
      <c r="D489" s="74">
        <f t="shared" si="460"/>
        <v>1000</v>
      </c>
      <c r="E489" s="74">
        <f t="shared" si="460"/>
        <v>99999000</v>
      </c>
      <c r="F489" s="67" t="s">
        <v>230</v>
      </c>
      <c r="G489" s="67" t="s">
        <v>1052</v>
      </c>
      <c r="H489" s="37">
        <f t="shared" si="401"/>
        <v>486</v>
      </c>
      <c r="I489" s="37"/>
    </row>
    <row r="490" spans="1:9">
      <c r="A490" s="37" t="s">
        <v>4095</v>
      </c>
      <c r="B490" s="37" t="s">
        <v>4019</v>
      </c>
      <c r="C490" s="74">
        <f t="shared" ref="C490:E490" si="461">C472</f>
        <v>0</v>
      </c>
      <c r="D490" s="74">
        <f t="shared" si="461"/>
        <v>0</v>
      </c>
      <c r="E490" s="74">
        <f t="shared" si="461"/>
        <v>1</v>
      </c>
      <c r="F490" s="67" t="s">
        <v>230</v>
      </c>
      <c r="G490" s="67" t="s">
        <v>1052</v>
      </c>
      <c r="H490" s="37">
        <f t="shared" si="401"/>
        <v>487</v>
      </c>
      <c r="I490" s="37"/>
    </row>
    <row r="491" spans="1:9">
      <c r="A491" s="37" t="s">
        <v>1907</v>
      </c>
      <c r="B491" s="37" t="s">
        <v>1908</v>
      </c>
      <c r="C491" s="92">
        <f t="shared" ref="C491:C545" si="462">C473+1</f>
        <v>211</v>
      </c>
      <c r="D491" s="74">
        <f t="shared" ref="D491:E491" si="463">D473</f>
        <v>1</v>
      </c>
      <c r="E491" s="74">
        <f t="shared" si="463"/>
        <v>4096</v>
      </c>
      <c r="F491" s="67" t="s">
        <v>230</v>
      </c>
      <c r="G491" s="67" t="s">
        <v>230</v>
      </c>
      <c r="H491" s="37">
        <f t="shared" si="401"/>
        <v>488</v>
      </c>
      <c r="I491" s="37"/>
    </row>
    <row r="492" spans="1:9">
      <c r="A492" s="37" t="s">
        <v>1909</v>
      </c>
      <c r="B492" s="37" t="s">
        <v>1910</v>
      </c>
      <c r="C492" s="74" t="str">
        <f t="shared" ref="C492:E492" si="464">C474</f>
        <v>0x00000000</v>
      </c>
      <c r="D492" s="74" t="str">
        <f t="shared" si="464"/>
        <v>0x80000000</v>
      </c>
      <c r="E492" s="74" t="str">
        <f t="shared" si="464"/>
        <v>0x7fffffff</v>
      </c>
      <c r="F492" s="67" t="s">
        <v>230</v>
      </c>
      <c r="G492" s="67" t="s">
        <v>1052</v>
      </c>
      <c r="H492" s="37">
        <f t="shared" si="401"/>
        <v>489</v>
      </c>
      <c r="I492" s="37"/>
    </row>
    <row r="493" spans="1:9">
      <c r="A493" s="37" t="s">
        <v>1911</v>
      </c>
      <c r="B493" s="37" t="s">
        <v>1912</v>
      </c>
      <c r="C493" s="74">
        <f t="shared" ref="C493:E493" si="465">C475</f>
        <v>0</v>
      </c>
      <c r="D493" s="74">
        <f t="shared" si="465"/>
        <v>0</v>
      </c>
      <c r="E493" s="74">
        <f t="shared" si="465"/>
        <v>65535</v>
      </c>
      <c r="F493" s="67" t="s">
        <v>230</v>
      </c>
      <c r="G493" s="67" t="s">
        <v>1052</v>
      </c>
      <c r="H493" s="37">
        <f t="shared" si="401"/>
        <v>490</v>
      </c>
      <c r="I493" s="37"/>
    </row>
    <row r="494" spans="1:9">
      <c r="A494" s="37" t="s">
        <v>1913</v>
      </c>
      <c r="B494" s="37" t="s">
        <v>1914</v>
      </c>
      <c r="C494" s="74">
        <f t="shared" ref="C494:E494" si="466">C476</f>
        <v>1</v>
      </c>
      <c r="D494" s="74">
        <f t="shared" si="466"/>
        <v>0</v>
      </c>
      <c r="E494" s="74">
        <f t="shared" si="466"/>
        <v>1</v>
      </c>
      <c r="F494" s="67" t="s">
        <v>230</v>
      </c>
      <c r="G494" s="67" t="s">
        <v>1052</v>
      </c>
      <c r="H494" s="37">
        <f t="shared" ref="H494:H557" si="467">ROW()-3</f>
        <v>491</v>
      </c>
      <c r="I494" s="37"/>
    </row>
    <row r="495" spans="1:9">
      <c r="A495" s="37" t="s">
        <v>1915</v>
      </c>
      <c r="B495" s="37" t="s">
        <v>1916</v>
      </c>
      <c r="C495" s="74">
        <f t="shared" ref="C495:E495" si="468">C477</f>
        <v>0</v>
      </c>
      <c r="D495" s="74">
        <f t="shared" si="468"/>
        <v>0</v>
      </c>
      <c r="E495" s="74">
        <f t="shared" si="468"/>
        <v>65535</v>
      </c>
      <c r="F495" s="67" t="s">
        <v>230</v>
      </c>
      <c r="G495" s="67" t="s">
        <v>1052</v>
      </c>
      <c r="H495" s="37">
        <f t="shared" si="467"/>
        <v>492</v>
      </c>
      <c r="I495" s="37"/>
    </row>
    <row r="496" spans="1:9">
      <c r="A496" s="37" t="s">
        <v>1917</v>
      </c>
      <c r="B496" s="37" t="s">
        <v>1918</v>
      </c>
      <c r="C496" s="74">
        <f t="shared" ref="C496:E496" si="469">C478</f>
        <v>0</v>
      </c>
      <c r="D496" s="74">
        <f t="shared" si="469"/>
        <v>0</v>
      </c>
      <c r="E496" s="74">
        <f t="shared" si="469"/>
        <v>1</v>
      </c>
      <c r="F496" s="67" t="s">
        <v>230</v>
      </c>
      <c r="G496" s="67" t="s">
        <v>1052</v>
      </c>
      <c r="H496" s="37">
        <f t="shared" si="467"/>
        <v>493</v>
      </c>
      <c r="I496" s="37"/>
    </row>
    <row r="497" spans="1:9">
      <c r="A497" s="37" t="s">
        <v>1919</v>
      </c>
      <c r="B497" s="37" t="s">
        <v>1920</v>
      </c>
      <c r="C497" s="74">
        <f t="shared" ref="C497:E497" si="470">C479</f>
        <v>1</v>
      </c>
      <c r="D497" s="74">
        <f t="shared" si="470"/>
        <v>0</v>
      </c>
      <c r="E497" s="74">
        <f t="shared" si="470"/>
        <v>2</v>
      </c>
      <c r="F497" s="67" t="s">
        <v>230</v>
      </c>
      <c r="G497" s="67" t="s">
        <v>1052</v>
      </c>
      <c r="H497" s="37">
        <f t="shared" si="467"/>
        <v>494</v>
      </c>
      <c r="I497" s="37"/>
    </row>
    <row r="498" spans="1:9">
      <c r="A498" s="37" t="s">
        <v>1921</v>
      </c>
      <c r="B498" s="37" t="s">
        <v>1922</v>
      </c>
      <c r="C498" s="74">
        <f t="shared" ref="C498:E498" si="471">C480</f>
        <v>0</v>
      </c>
      <c r="D498" s="74">
        <f t="shared" si="471"/>
        <v>0</v>
      </c>
      <c r="E498" s="74">
        <f t="shared" si="471"/>
        <v>3</v>
      </c>
      <c r="F498" s="67" t="s">
        <v>230</v>
      </c>
      <c r="G498" s="67" t="s">
        <v>1052</v>
      </c>
      <c r="H498" s="37">
        <f t="shared" si="467"/>
        <v>495</v>
      </c>
      <c r="I498" s="37"/>
    </row>
    <row r="499" spans="1:9">
      <c r="A499" s="37" t="s">
        <v>1923</v>
      </c>
      <c r="B499" s="37" t="s">
        <v>1924</v>
      </c>
      <c r="C499" s="74">
        <f t="shared" ref="C499:E499" si="472">C481</f>
        <v>0</v>
      </c>
      <c r="D499" s="74">
        <f t="shared" si="472"/>
        <v>0</v>
      </c>
      <c r="E499" s="74">
        <f t="shared" si="472"/>
        <v>3</v>
      </c>
      <c r="F499" s="67" t="s">
        <v>230</v>
      </c>
      <c r="G499" s="67" t="s">
        <v>1052</v>
      </c>
      <c r="H499" s="37">
        <f t="shared" si="467"/>
        <v>496</v>
      </c>
      <c r="I499" s="37"/>
    </row>
    <row r="500" spans="1:9">
      <c r="A500" s="37" t="s">
        <v>1925</v>
      </c>
      <c r="B500" s="37" t="s">
        <v>1926</v>
      </c>
      <c r="C500" s="74">
        <f t="shared" ref="C500:E500" si="473">C482</f>
        <v>0</v>
      </c>
      <c r="D500" s="74">
        <f t="shared" si="473"/>
        <v>0</v>
      </c>
      <c r="E500" s="74">
        <f t="shared" si="473"/>
        <v>3</v>
      </c>
      <c r="F500" s="67" t="s">
        <v>230</v>
      </c>
      <c r="G500" s="67" t="s">
        <v>1052</v>
      </c>
      <c r="H500" s="37">
        <f t="shared" si="467"/>
        <v>497</v>
      </c>
      <c r="I500" s="37"/>
    </row>
    <row r="501" spans="1:9">
      <c r="A501" s="37" t="s">
        <v>1927</v>
      </c>
      <c r="B501" s="37" t="s">
        <v>2680</v>
      </c>
      <c r="C501" s="74">
        <f t="shared" ref="C501:E501" si="474">C483</f>
        <v>0</v>
      </c>
      <c r="D501" s="74">
        <f t="shared" si="474"/>
        <v>0</v>
      </c>
      <c r="E501" s="74">
        <f t="shared" si="474"/>
        <v>1</v>
      </c>
      <c r="F501" s="67" t="s">
        <v>230</v>
      </c>
      <c r="G501" s="67" t="s">
        <v>1052</v>
      </c>
      <c r="H501" s="37">
        <f t="shared" si="467"/>
        <v>498</v>
      </c>
      <c r="I501" s="37"/>
    </row>
    <row r="502" spans="1:9">
      <c r="A502" s="37" t="s">
        <v>1928</v>
      </c>
      <c r="B502" s="37" t="s">
        <v>1929</v>
      </c>
      <c r="C502" s="74">
        <f t="shared" ref="C502:E502" si="475">C484</f>
        <v>0</v>
      </c>
      <c r="D502" s="74">
        <f t="shared" si="475"/>
        <v>0</v>
      </c>
      <c r="E502" s="74">
        <f t="shared" si="475"/>
        <v>1</v>
      </c>
      <c r="F502" s="67" t="s">
        <v>230</v>
      </c>
      <c r="G502" s="67" t="s">
        <v>1052</v>
      </c>
      <c r="H502" s="37">
        <f t="shared" si="467"/>
        <v>499</v>
      </c>
      <c r="I502" s="37"/>
    </row>
    <row r="503" spans="1:9">
      <c r="A503" s="37" t="s">
        <v>1930</v>
      </c>
      <c r="B503" s="37" t="s">
        <v>1931</v>
      </c>
      <c r="C503" s="74">
        <f t="shared" ref="C503:E503" si="476">C485</f>
        <v>0</v>
      </c>
      <c r="D503" s="74">
        <f t="shared" si="476"/>
        <v>0</v>
      </c>
      <c r="E503" s="74">
        <f t="shared" si="476"/>
        <v>4</v>
      </c>
      <c r="F503" s="67" t="s">
        <v>230</v>
      </c>
      <c r="G503" s="67" t="s">
        <v>1052</v>
      </c>
      <c r="H503" s="37">
        <f t="shared" si="467"/>
        <v>500</v>
      </c>
      <c r="I503" s="37"/>
    </row>
    <row r="504" spans="1:9">
      <c r="A504" s="37" t="s">
        <v>1932</v>
      </c>
      <c r="B504" s="37" t="s">
        <v>1933</v>
      </c>
      <c r="C504" s="74" t="str">
        <f t="shared" ref="C504:E504" si="477">C486</f>
        <v>(空文字)</v>
      </c>
      <c r="D504" s="74" t="str">
        <f t="shared" si="477"/>
        <v>(空文字)</v>
      </c>
      <c r="E504" s="74" t="str">
        <f t="shared" si="477"/>
        <v>(空文字)</v>
      </c>
      <c r="F504" s="67" t="s">
        <v>230</v>
      </c>
      <c r="G504" s="67" t="s">
        <v>1052</v>
      </c>
      <c r="H504" s="37">
        <f t="shared" si="467"/>
        <v>501</v>
      </c>
      <c r="I504" s="37"/>
    </row>
    <row r="505" spans="1:9">
      <c r="A505" s="37" t="s">
        <v>1934</v>
      </c>
      <c r="B505" s="37" t="s">
        <v>1935</v>
      </c>
      <c r="C505" s="74" t="str">
        <f t="shared" ref="C505:E505" si="478">C487</f>
        <v>(空文字)</v>
      </c>
      <c r="D505" s="74" t="str">
        <f t="shared" si="478"/>
        <v>(空文字)</v>
      </c>
      <c r="E505" s="74" t="str">
        <f t="shared" si="478"/>
        <v>(空文字)</v>
      </c>
      <c r="F505" s="67" t="s">
        <v>230</v>
      </c>
      <c r="G505" s="67" t="s">
        <v>1052</v>
      </c>
      <c r="H505" s="37">
        <f t="shared" si="467"/>
        <v>502</v>
      </c>
      <c r="I505" s="37"/>
    </row>
    <row r="506" spans="1:9">
      <c r="A506" s="37" t="s">
        <v>1936</v>
      </c>
      <c r="B506" s="37" t="s">
        <v>1937</v>
      </c>
      <c r="C506" s="74">
        <f t="shared" ref="C506:E506" si="479">C488</f>
        <v>0</v>
      </c>
      <c r="D506" s="74">
        <f t="shared" si="479"/>
        <v>0</v>
      </c>
      <c r="E506" s="74">
        <f t="shared" si="479"/>
        <v>3</v>
      </c>
      <c r="F506" s="67" t="s">
        <v>230</v>
      </c>
      <c r="G506" s="67" t="s">
        <v>1052</v>
      </c>
      <c r="H506" s="37">
        <f t="shared" si="467"/>
        <v>503</v>
      </c>
      <c r="I506" s="37"/>
    </row>
    <row r="507" spans="1:9">
      <c r="A507" s="37" t="s">
        <v>3942</v>
      </c>
      <c r="B507" s="37" t="s">
        <v>4020</v>
      </c>
      <c r="C507" s="74">
        <f t="shared" ref="C507:E507" si="480">C489</f>
        <v>10000</v>
      </c>
      <c r="D507" s="74">
        <f t="shared" si="480"/>
        <v>1000</v>
      </c>
      <c r="E507" s="74">
        <f t="shared" si="480"/>
        <v>99999000</v>
      </c>
      <c r="F507" s="67" t="s">
        <v>230</v>
      </c>
      <c r="G507" s="67" t="s">
        <v>1052</v>
      </c>
      <c r="H507" s="37">
        <f t="shared" si="467"/>
        <v>504</v>
      </c>
      <c r="I507" s="37"/>
    </row>
    <row r="508" spans="1:9">
      <c r="A508" s="37" t="s">
        <v>4096</v>
      </c>
      <c r="B508" s="37" t="s">
        <v>4021</v>
      </c>
      <c r="C508" s="74">
        <f t="shared" ref="C508:E508" si="481">C490</f>
        <v>0</v>
      </c>
      <c r="D508" s="74">
        <f t="shared" si="481"/>
        <v>0</v>
      </c>
      <c r="E508" s="74">
        <f t="shared" si="481"/>
        <v>1</v>
      </c>
      <c r="F508" s="67" t="s">
        <v>230</v>
      </c>
      <c r="G508" s="67" t="s">
        <v>1052</v>
      </c>
      <c r="H508" s="37">
        <f t="shared" si="467"/>
        <v>505</v>
      </c>
      <c r="I508" s="37"/>
    </row>
    <row r="509" spans="1:9">
      <c r="A509" s="37" t="s">
        <v>1938</v>
      </c>
      <c r="B509" s="37" t="s">
        <v>1939</v>
      </c>
      <c r="C509" s="92">
        <f t="shared" si="462"/>
        <v>212</v>
      </c>
      <c r="D509" s="74">
        <f t="shared" ref="D509:E509" si="482">D491</f>
        <v>1</v>
      </c>
      <c r="E509" s="74">
        <f t="shared" si="482"/>
        <v>4096</v>
      </c>
      <c r="F509" s="67" t="s">
        <v>230</v>
      </c>
      <c r="G509" s="67" t="s">
        <v>230</v>
      </c>
      <c r="H509" s="37">
        <f t="shared" si="467"/>
        <v>506</v>
      </c>
      <c r="I509" s="37"/>
    </row>
    <row r="510" spans="1:9">
      <c r="A510" s="37" t="s">
        <v>1940</v>
      </c>
      <c r="B510" s="37" t="s">
        <v>1941</v>
      </c>
      <c r="C510" s="74" t="str">
        <f t="shared" ref="C510:E510" si="483">C492</f>
        <v>0x00000000</v>
      </c>
      <c r="D510" s="74" t="str">
        <f t="shared" si="483"/>
        <v>0x80000000</v>
      </c>
      <c r="E510" s="74" t="str">
        <f t="shared" si="483"/>
        <v>0x7fffffff</v>
      </c>
      <c r="F510" s="67" t="s">
        <v>230</v>
      </c>
      <c r="G510" s="67" t="s">
        <v>1052</v>
      </c>
      <c r="H510" s="37">
        <f t="shared" si="467"/>
        <v>507</v>
      </c>
      <c r="I510" s="37"/>
    </row>
    <row r="511" spans="1:9">
      <c r="A511" s="37" t="s">
        <v>1942</v>
      </c>
      <c r="B511" s="37" t="s">
        <v>1943</v>
      </c>
      <c r="C511" s="74">
        <f t="shared" ref="C511:E511" si="484">C493</f>
        <v>0</v>
      </c>
      <c r="D511" s="74">
        <f t="shared" si="484"/>
        <v>0</v>
      </c>
      <c r="E511" s="74">
        <f t="shared" si="484"/>
        <v>65535</v>
      </c>
      <c r="F511" s="67" t="s">
        <v>230</v>
      </c>
      <c r="G511" s="67" t="s">
        <v>1052</v>
      </c>
      <c r="H511" s="37">
        <f t="shared" si="467"/>
        <v>508</v>
      </c>
      <c r="I511" s="37"/>
    </row>
    <row r="512" spans="1:9">
      <c r="A512" s="37" t="s">
        <v>1944</v>
      </c>
      <c r="B512" s="37" t="s">
        <v>1945</v>
      </c>
      <c r="C512" s="74">
        <f t="shared" ref="C512:E512" si="485">C494</f>
        <v>1</v>
      </c>
      <c r="D512" s="74">
        <f t="shared" si="485"/>
        <v>0</v>
      </c>
      <c r="E512" s="74">
        <f t="shared" si="485"/>
        <v>1</v>
      </c>
      <c r="F512" s="67" t="s">
        <v>230</v>
      </c>
      <c r="G512" s="67" t="s">
        <v>1052</v>
      </c>
      <c r="H512" s="37">
        <f t="shared" si="467"/>
        <v>509</v>
      </c>
      <c r="I512" s="37"/>
    </row>
    <row r="513" spans="1:9">
      <c r="A513" s="37" t="s">
        <v>1946</v>
      </c>
      <c r="B513" s="37" t="s">
        <v>1947</v>
      </c>
      <c r="C513" s="74">
        <f t="shared" ref="C513:E513" si="486">C495</f>
        <v>0</v>
      </c>
      <c r="D513" s="74">
        <f t="shared" si="486"/>
        <v>0</v>
      </c>
      <c r="E513" s="74">
        <f t="shared" si="486"/>
        <v>65535</v>
      </c>
      <c r="F513" s="67" t="s">
        <v>230</v>
      </c>
      <c r="G513" s="67" t="s">
        <v>1052</v>
      </c>
      <c r="H513" s="37">
        <f t="shared" si="467"/>
        <v>510</v>
      </c>
      <c r="I513" s="37"/>
    </row>
    <row r="514" spans="1:9">
      <c r="A514" s="37" t="s">
        <v>1948</v>
      </c>
      <c r="B514" s="37" t="s">
        <v>1949</v>
      </c>
      <c r="C514" s="74">
        <f t="shared" ref="C514:E514" si="487">C496</f>
        <v>0</v>
      </c>
      <c r="D514" s="74">
        <f t="shared" si="487"/>
        <v>0</v>
      </c>
      <c r="E514" s="74">
        <f t="shared" si="487"/>
        <v>1</v>
      </c>
      <c r="F514" s="67" t="s">
        <v>230</v>
      </c>
      <c r="G514" s="67" t="s">
        <v>1052</v>
      </c>
      <c r="H514" s="37">
        <f t="shared" si="467"/>
        <v>511</v>
      </c>
      <c r="I514" s="37"/>
    </row>
    <row r="515" spans="1:9">
      <c r="A515" s="37" t="s">
        <v>1950</v>
      </c>
      <c r="B515" s="37" t="s">
        <v>1951</v>
      </c>
      <c r="C515" s="74">
        <f t="shared" ref="C515:E515" si="488">C497</f>
        <v>1</v>
      </c>
      <c r="D515" s="74">
        <f t="shared" si="488"/>
        <v>0</v>
      </c>
      <c r="E515" s="74">
        <f t="shared" si="488"/>
        <v>2</v>
      </c>
      <c r="F515" s="67" t="s">
        <v>230</v>
      </c>
      <c r="G515" s="67" t="s">
        <v>1052</v>
      </c>
      <c r="H515" s="37">
        <f t="shared" si="467"/>
        <v>512</v>
      </c>
      <c r="I515" s="37"/>
    </row>
    <row r="516" spans="1:9">
      <c r="A516" s="37" t="s">
        <v>1952</v>
      </c>
      <c r="B516" s="37" t="s">
        <v>1953</v>
      </c>
      <c r="C516" s="74">
        <f t="shared" ref="C516:E516" si="489">C498</f>
        <v>0</v>
      </c>
      <c r="D516" s="74">
        <f t="shared" si="489"/>
        <v>0</v>
      </c>
      <c r="E516" s="74">
        <f t="shared" si="489"/>
        <v>3</v>
      </c>
      <c r="F516" s="67" t="s">
        <v>230</v>
      </c>
      <c r="G516" s="67" t="s">
        <v>1052</v>
      </c>
      <c r="H516" s="37">
        <f t="shared" si="467"/>
        <v>513</v>
      </c>
      <c r="I516" s="37"/>
    </row>
    <row r="517" spans="1:9">
      <c r="A517" s="37" t="s">
        <v>1954</v>
      </c>
      <c r="B517" s="37" t="s">
        <v>1955</v>
      </c>
      <c r="C517" s="74">
        <f t="shared" ref="C517:E517" si="490">C499</f>
        <v>0</v>
      </c>
      <c r="D517" s="74">
        <f t="shared" si="490"/>
        <v>0</v>
      </c>
      <c r="E517" s="74">
        <f t="shared" si="490"/>
        <v>3</v>
      </c>
      <c r="F517" s="67" t="s">
        <v>230</v>
      </c>
      <c r="G517" s="67" t="s">
        <v>1052</v>
      </c>
      <c r="H517" s="37">
        <f t="shared" si="467"/>
        <v>514</v>
      </c>
      <c r="I517" s="37"/>
    </row>
    <row r="518" spans="1:9">
      <c r="A518" s="37" t="s">
        <v>1956</v>
      </c>
      <c r="B518" s="37" t="s">
        <v>1957</v>
      </c>
      <c r="C518" s="74">
        <f t="shared" ref="C518:E518" si="491">C500</f>
        <v>0</v>
      </c>
      <c r="D518" s="74">
        <f t="shared" si="491"/>
        <v>0</v>
      </c>
      <c r="E518" s="74">
        <f t="shared" si="491"/>
        <v>3</v>
      </c>
      <c r="F518" s="67" t="s">
        <v>230</v>
      </c>
      <c r="G518" s="67" t="s">
        <v>1052</v>
      </c>
      <c r="H518" s="37">
        <f t="shared" si="467"/>
        <v>515</v>
      </c>
      <c r="I518" s="37"/>
    </row>
    <row r="519" spans="1:9">
      <c r="A519" s="37" t="s">
        <v>1958</v>
      </c>
      <c r="B519" s="37" t="s">
        <v>2681</v>
      </c>
      <c r="C519" s="74">
        <f t="shared" ref="C519:E519" si="492">C501</f>
        <v>0</v>
      </c>
      <c r="D519" s="74">
        <f t="shared" si="492"/>
        <v>0</v>
      </c>
      <c r="E519" s="74">
        <f t="shared" si="492"/>
        <v>1</v>
      </c>
      <c r="F519" s="67" t="s">
        <v>230</v>
      </c>
      <c r="G519" s="67" t="s">
        <v>1052</v>
      </c>
      <c r="H519" s="37">
        <f t="shared" si="467"/>
        <v>516</v>
      </c>
      <c r="I519" s="37"/>
    </row>
    <row r="520" spans="1:9">
      <c r="A520" s="37" t="s">
        <v>1959</v>
      </c>
      <c r="B520" s="37" t="s">
        <v>1960</v>
      </c>
      <c r="C520" s="74">
        <f t="shared" ref="C520:E520" si="493">C502</f>
        <v>0</v>
      </c>
      <c r="D520" s="74">
        <f t="shared" si="493"/>
        <v>0</v>
      </c>
      <c r="E520" s="74">
        <f t="shared" si="493"/>
        <v>1</v>
      </c>
      <c r="F520" s="67" t="s">
        <v>230</v>
      </c>
      <c r="G520" s="67" t="s">
        <v>1052</v>
      </c>
      <c r="H520" s="37">
        <f t="shared" si="467"/>
        <v>517</v>
      </c>
      <c r="I520" s="37"/>
    </row>
    <row r="521" spans="1:9">
      <c r="A521" s="37" t="s">
        <v>1961</v>
      </c>
      <c r="B521" s="37" t="s">
        <v>1962</v>
      </c>
      <c r="C521" s="74">
        <f t="shared" ref="C521:E521" si="494">C503</f>
        <v>0</v>
      </c>
      <c r="D521" s="74">
        <f t="shared" si="494"/>
        <v>0</v>
      </c>
      <c r="E521" s="74">
        <f t="shared" si="494"/>
        <v>4</v>
      </c>
      <c r="F521" s="67" t="s">
        <v>230</v>
      </c>
      <c r="G521" s="67" t="s">
        <v>1052</v>
      </c>
      <c r="H521" s="37">
        <f t="shared" si="467"/>
        <v>518</v>
      </c>
      <c r="I521" s="37"/>
    </row>
    <row r="522" spans="1:9">
      <c r="A522" s="37" t="s">
        <v>1963</v>
      </c>
      <c r="B522" s="37" t="s">
        <v>1964</v>
      </c>
      <c r="C522" s="74" t="str">
        <f t="shared" ref="C522:E522" si="495">C504</f>
        <v>(空文字)</v>
      </c>
      <c r="D522" s="74" t="str">
        <f t="shared" si="495"/>
        <v>(空文字)</v>
      </c>
      <c r="E522" s="74" t="str">
        <f t="shared" si="495"/>
        <v>(空文字)</v>
      </c>
      <c r="F522" s="67" t="s">
        <v>230</v>
      </c>
      <c r="G522" s="67" t="s">
        <v>1052</v>
      </c>
      <c r="H522" s="37">
        <f t="shared" si="467"/>
        <v>519</v>
      </c>
      <c r="I522" s="37"/>
    </row>
    <row r="523" spans="1:9">
      <c r="A523" s="37" t="s">
        <v>1965</v>
      </c>
      <c r="B523" s="37" t="s">
        <v>1966</v>
      </c>
      <c r="C523" s="74" t="str">
        <f t="shared" ref="C523:E523" si="496">C505</f>
        <v>(空文字)</v>
      </c>
      <c r="D523" s="74" t="str">
        <f t="shared" si="496"/>
        <v>(空文字)</v>
      </c>
      <c r="E523" s="74" t="str">
        <f t="shared" si="496"/>
        <v>(空文字)</v>
      </c>
      <c r="F523" s="67" t="s">
        <v>230</v>
      </c>
      <c r="G523" s="67" t="s">
        <v>1052</v>
      </c>
      <c r="H523" s="37">
        <f t="shared" si="467"/>
        <v>520</v>
      </c>
      <c r="I523" s="37"/>
    </row>
    <row r="524" spans="1:9">
      <c r="A524" s="37" t="s">
        <v>1967</v>
      </c>
      <c r="B524" s="37" t="s">
        <v>1968</v>
      </c>
      <c r="C524" s="74">
        <f t="shared" ref="C524:E524" si="497">C506</f>
        <v>0</v>
      </c>
      <c r="D524" s="74">
        <f t="shared" si="497"/>
        <v>0</v>
      </c>
      <c r="E524" s="74">
        <f t="shared" si="497"/>
        <v>3</v>
      </c>
      <c r="F524" s="67" t="s">
        <v>230</v>
      </c>
      <c r="G524" s="67" t="s">
        <v>1052</v>
      </c>
      <c r="H524" s="37">
        <f t="shared" si="467"/>
        <v>521</v>
      </c>
      <c r="I524" s="37"/>
    </row>
    <row r="525" spans="1:9">
      <c r="A525" s="37" t="s">
        <v>3943</v>
      </c>
      <c r="B525" s="37" t="s">
        <v>4022</v>
      </c>
      <c r="C525" s="74">
        <f t="shared" ref="C525:E525" si="498">C507</f>
        <v>10000</v>
      </c>
      <c r="D525" s="74">
        <f t="shared" si="498"/>
        <v>1000</v>
      </c>
      <c r="E525" s="74">
        <f t="shared" si="498"/>
        <v>99999000</v>
      </c>
      <c r="F525" s="67" t="s">
        <v>230</v>
      </c>
      <c r="G525" s="67" t="s">
        <v>1052</v>
      </c>
      <c r="H525" s="37">
        <f t="shared" si="467"/>
        <v>522</v>
      </c>
      <c r="I525" s="37"/>
    </row>
    <row r="526" spans="1:9">
      <c r="A526" s="37" t="s">
        <v>4097</v>
      </c>
      <c r="B526" s="37" t="s">
        <v>4023</v>
      </c>
      <c r="C526" s="74">
        <f t="shared" ref="C526:E526" si="499">C508</f>
        <v>0</v>
      </c>
      <c r="D526" s="74">
        <f t="shared" si="499"/>
        <v>0</v>
      </c>
      <c r="E526" s="74">
        <f t="shared" si="499"/>
        <v>1</v>
      </c>
      <c r="F526" s="67" t="s">
        <v>230</v>
      </c>
      <c r="G526" s="67" t="s">
        <v>1052</v>
      </c>
      <c r="H526" s="37">
        <f t="shared" si="467"/>
        <v>523</v>
      </c>
      <c r="I526" s="37"/>
    </row>
    <row r="527" spans="1:9">
      <c r="A527" s="37" t="s">
        <v>1969</v>
      </c>
      <c r="B527" s="37" t="s">
        <v>1970</v>
      </c>
      <c r="C527" s="92">
        <f t="shared" si="462"/>
        <v>213</v>
      </c>
      <c r="D527" s="74">
        <f t="shared" ref="D527:E527" si="500">D509</f>
        <v>1</v>
      </c>
      <c r="E527" s="74">
        <f t="shared" si="500"/>
        <v>4096</v>
      </c>
      <c r="F527" s="67" t="s">
        <v>230</v>
      </c>
      <c r="G527" s="67" t="s">
        <v>230</v>
      </c>
      <c r="H527" s="37">
        <f t="shared" si="467"/>
        <v>524</v>
      </c>
      <c r="I527" s="37"/>
    </row>
    <row r="528" spans="1:9">
      <c r="A528" s="37" t="s">
        <v>1971</v>
      </c>
      <c r="B528" s="37" t="s">
        <v>1972</v>
      </c>
      <c r="C528" s="74" t="str">
        <f t="shared" ref="C528:E528" si="501">C510</f>
        <v>0x00000000</v>
      </c>
      <c r="D528" s="74" t="str">
        <f t="shared" si="501"/>
        <v>0x80000000</v>
      </c>
      <c r="E528" s="74" t="str">
        <f t="shared" si="501"/>
        <v>0x7fffffff</v>
      </c>
      <c r="F528" s="67" t="s">
        <v>230</v>
      </c>
      <c r="G528" s="67" t="s">
        <v>1052</v>
      </c>
      <c r="H528" s="37">
        <f t="shared" si="467"/>
        <v>525</v>
      </c>
      <c r="I528" s="37"/>
    </row>
    <row r="529" spans="1:9">
      <c r="A529" s="37" t="s">
        <v>1973</v>
      </c>
      <c r="B529" s="37" t="s">
        <v>1974</v>
      </c>
      <c r="C529" s="74">
        <f t="shared" ref="C529:E529" si="502">C511</f>
        <v>0</v>
      </c>
      <c r="D529" s="74">
        <f t="shared" si="502"/>
        <v>0</v>
      </c>
      <c r="E529" s="74">
        <f t="shared" si="502"/>
        <v>65535</v>
      </c>
      <c r="F529" s="67" t="s">
        <v>230</v>
      </c>
      <c r="G529" s="67" t="s">
        <v>1052</v>
      </c>
      <c r="H529" s="37">
        <f t="shared" si="467"/>
        <v>526</v>
      </c>
      <c r="I529" s="37"/>
    </row>
    <row r="530" spans="1:9">
      <c r="A530" s="37" t="s">
        <v>1975</v>
      </c>
      <c r="B530" s="37" t="s">
        <v>1976</v>
      </c>
      <c r="C530" s="74">
        <f t="shared" ref="C530:E530" si="503">C512</f>
        <v>1</v>
      </c>
      <c r="D530" s="74">
        <f t="shared" si="503"/>
        <v>0</v>
      </c>
      <c r="E530" s="74">
        <f t="shared" si="503"/>
        <v>1</v>
      </c>
      <c r="F530" s="67" t="s">
        <v>230</v>
      </c>
      <c r="G530" s="67" t="s">
        <v>1052</v>
      </c>
      <c r="H530" s="37">
        <f t="shared" si="467"/>
        <v>527</v>
      </c>
      <c r="I530" s="37"/>
    </row>
    <row r="531" spans="1:9">
      <c r="A531" s="37" t="s">
        <v>1977</v>
      </c>
      <c r="B531" s="37" t="s">
        <v>1978</v>
      </c>
      <c r="C531" s="74">
        <f t="shared" ref="C531:E531" si="504">C513</f>
        <v>0</v>
      </c>
      <c r="D531" s="74">
        <f t="shared" si="504"/>
        <v>0</v>
      </c>
      <c r="E531" s="74">
        <f t="shared" si="504"/>
        <v>65535</v>
      </c>
      <c r="F531" s="67" t="s">
        <v>230</v>
      </c>
      <c r="G531" s="67" t="s">
        <v>1052</v>
      </c>
      <c r="H531" s="37">
        <f t="shared" si="467"/>
        <v>528</v>
      </c>
      <c r="I531" s="37"/>
    </row>
    <row r="532" spans="1:9">
      <c r="A532" s="37" t="s">
        <v>1979</v>
      </c>
      <c r="B532" s="37" t="s">
        <v>1980</v>
      </c>
      <c r="C532" s="74">
        <f t="shared" ref="C532:E532" si="505">C514</f>
        <v>0</v>
      </c>
      <c r="D532" s="74">
        <f t="shared" si="505"/>
        <v>0</v>
      </c>
      <c r="E532" s="74">
        <f t="shared" si="505"/>
        <v>1</v>
      </c>
      <c r="F532" s="67" t="s">
        <v>230</v>
      </c>
      <c r="G532" s="67" t="s">
        <v>1052</v>
      </c>
      <c r="H532" s="37">
        <f t="shared" si="467"/>
        <v>529</v>
      </c>
      <c r="I532" s="37"/>
    </row>
    <row r="533" spans="1:9">
      <c r="A533" s="37" t="s">
        <v>1981</v>
      </c>
      <c r="B533" s="37" t="s">
        <v>1982</v>
      </c>
      <c r="C533" s="74">
        <f t="shared" ref="C533:E533" si="506">C515</f>
        <v>1</v>
      </c>
      <c r="D533" s="74">
        <f t="shared" si="506"/>
        <v>0</v>
      </c>
      <c r="E533" s="74">
        <f t="shared" si="506"/>
        <v>2</v>
      </c>
      <c r="F533" s="67" t="s">
        <v>230</v>
      </c>
      <c r="G533" s="67" t="s">
        <v>1052</v>
      </c>
      <c r="H533" s="37">
        <f t="shared" si="467"/>
        <v>530</v>
      </c>
      <c r="I533" s="37"/>
    </row>
    <row r="534" spans="1:9">
      <c r="A534" s="37" t="s">
        <v>1983</v>
      </c>
      <c r="B534" s="37" t="s">
        <v>1984</v>
      </c>
      <c r="C534" s="74">
        <f t="shared" ref="C534:E534" si="507">C516</f>
        <v>0</v>
      </c>
      <c r="D534" s="74">
        <f t="shared" si="507"/>
        <v>0</v>
      </c>
      <c r="E534" s="74">
        <f t="shared" si="507"/>
        <v>3</v>
      </c>
      <c r="F534" s="67" t="s">
        <v>230</v>
      </c>
      <c r="G534" s="67" t="s">
        <v>1052</v>
      </c>
      <c r="H534" s="37">
        <f t="shared" si="467"/>
        <v>531</v>
      </c>
      <c r="I534" s="37"/>
    </row>
    <row r="535" spans="1:9">
      <c r="A535" s="37" t="s">
        <v>1985</v>
      </c>
      <c r="B535" s="37" t="s">
        <v>1986</v>
      </c>
      <c r="C535" s="74">
        <f t="shared" ref="C535:E535" si="508">C517</f>
        <v>0</v>
      </c>
      <c r="D535" s="74">
        <f t="shared" si="508"/>
        <v>0</v>
      </c>
      <c r="E535" s="74">
        <f t="shared" si="508"/>
        <v>3</v>
      </c>
      <c r="F535" s="67" t="s">
        <v>230</v>
      </c>
      <c r="G535" s="67" t="s">
        <v>1052</v>
      </c>
      <c r="H535" s="37">
        <f t="shared" si="467"/>
        <v>532</v>
      </c>
      <c r="I535" s="37"/>
    </row>
    <row r="536" spans="1:9">
      <c r="A536" s="37" t="s">
        <v>1987</v>
      </c>
      <c r="B536" s="37" t="s">
        <v>1988</v>
      </c>
      <c r="C536" s="74">
        <f t="shared" ref="C536:E536" si="509">C518</f>
        <v>0</v>
      </c>
      <c r="D536" s="74">
        <f t="shared" si="509"/>
        <v>0</v>
      </c>
      <c r="E536" s="74">
        <f t="shared" si="509"/>
        <v>3</v>
      </c>
      <c r="F536" s="67" t="s">
        <v>230</v>
      </c>
      <c r="G536" s="67" t="s">
        <v>1052</v>
      </c>
      <c r="H536" s="37">
        <f t="shared" si="467"/>
        <v>533</v>
      </c>
      <c r="I536" s="37"/>
    </row>
    <row r="537" spans="1:9">
      <c r="A537" s="37" t="s">
        <v>1989</v>
      </c>
      <c r="B537" s="37" t="s">
        <v>2682</v>
      </c>
      <c r="C537" s="74">
        <f t="shared" ref="C537:E537" si="510">C519</f>
        <v>0</v>
      </c>
      <c r="D537" s="74">
        <f t="shared" si="510"/>
        <v>0</v>
      </c>
      <c r="E537" s="74">
        <f t="shared" si="510"/>
        <v>1</v>
      </c>
      <c r="F537" s="67" t="s">
        <v>230</v>
      </c>
      <c r="G537" s="67" t="s">
        <v>1052</v>
      </c>
      <c r="H537" s="37">
        <f t="shared" si="467"/>
        <v>534</v>
      </c>
      <c r="I537" s="37"/>
    </row>
    <row r="538" spans="1:9">
      <c r="A538" s="37" t="s">
        <v>1990</v>
      </c>
      <c r="B538" s="37" t="s">
        <v>1991</v>
      </c>
      <c r="C538" s="74">
        <f t="shared" ref="C538:E538" si="511">C520</f>
        <v>0</v>
      </c>
      <c r="D538" s="74">
        <f t="shared" si="511"/>
        <v>0</v>
      </c>
      <c r="E538" s="74">
        <f t="shared" si="511"/>
        <v>1</v>
      </c>
      <c r="F538" s="67" t="s">
        <v>230</v>
      </c>
      <c r="G538" s="67" t="s">
        <v>1052</v>
      </c>
      <c r="H538" s="37">
        <f t="shared" si="467"/>
        <v>535</v>
      </c>
      <c r="I538" s="37"/>
    </row>
    <row r="539" spans="1:9">
      <c r="A539" s="37" t="s">
        <v>1992</v>
      </c>
      <c r="B539" s="37" t="s">
        <v>1993</v>
      </c>
      <c r="C539" s="74">
        <f t="shared" ref="C539:E539" si="512">C521</f>
        <v>0</v>
      </c>
      <c r="D539" s="74">
        <f t="shared" si="512"/>
        <v>0</v>
      </c>
      <c r="E539" s="74">
        <f t="shared" si="512"/>
        <v>4</v>
      </c>
      <c r="F539" s="67" t="s">
        <v>230</v>
      </c>
      <c r="G539" s="67" t="s">
        <v>1052</v>
      </c>
      <c r="H539" s="37">
        <f t="shared" si="467"/>
        <v>536</v>
      </c>
      <c r="I539" s="37"/>
    </row>
    <row r="540" spans="1:9">
      <c r="A540" s="37" t="s">
        <v>1994</v>
      </c>
      <c r="B540" s="37" t="s">
        <v>1995</v>
      </c>
      <c r="C540" s="74" t="str">
        <f t="shared" ref="C540:E540" si="513">C522</f>
        <v>(空文字)</v>
      </c>
      <c r="D540" s="74" t="str">
        <f t="shared" si="513"/>
        <v>(空文字)</v>
      </c>
      <c r="E540" s="74" t="str">
        <f t="shared" si="513"/>
        <v>(空文字)</v>
      </c>
      <c r="F540" s="67" t="s">
        <v>230</v>
      </c>
      <c r="G540" s="67" t="s">
        <v>1052</v>
      </c>
      <c r="H540" s="37">
        <f t="shared" si="467"/>
        <v>537</v>
      </c>
      <c r="I540" s="37"/>
    </row>
    <row r="541" spans="1:9">
      <c r="A541" s="37" t="s">
        <v>1996</v>
      </c>
      <c r="B541" s="37" t="s">
        <v>1997</v>
      </c>
      <c r="C541" s="74" t="str">
        <f t="shared" ref="C541:E541" si="514">C523</f>
        <v>(空文字)</v>
      </c>
      <c r="D541" s="74" t="str">
        <f t="shared" si="514"/>
        <v>(空文字)</v>
      </c>
      <c r="E541" s="74" t="str">
        <f t="shared" si="514"/>
        <v>(空文字)</v>
      </c>
      <c r="F541" s="67" t="s">
        <v>230</v>
      </c>
      <c r="G541" s="67" t="s">
        <v>1052</v>
      </c>
      <c r="H541" s="37">
        <f t="shared" si="467"/>
        <v>538</v>
      </c>
      <c r="I541" s="37"/>
    </row>
    <row r="542" spans="1:9">
      <c r="A542" s="37" t="s">
        <v>1998</v>
      </c>
      <c r="B542" s="37" t="s">
        <v>1999</v>
      </c>
      <c r="C542" s="74">
        <f t="shared" ref="C542:E542" si="515">C524</f>
        <v>0</v>
      </c>
      <c r="D542" s="74">
        <f t="shared" si="515"/>
        <v>0</v>
      </c>
      <c r="E542" s="74">
        <f t="shared" si="515"/>
        <v>3</v>
      </c>
      <c r="F542" s="67" t="s">
        <v>230</v>
      </c>
      <c r="G542" s="67" t="s">
        <v>1052</v>
      </c>
      <c r="H542" s="37">
        <f t="shared" si="467"/>
        <v>539</v>
      </c>
      <c r="I542" s="37"/>
    </row>
    <row r="543" spans="1:9">
      <c r="A543" s="37" t="s">
        <v>3944</v>
      </c>
      <c r="B543" s="37" t="s">
        <v>4024</v>
      </c>
      <c r="C543" s="74">
        <f t="shared" ref="C543:E543" si="516">C525</f>
        <v>10000</v>
      </c>
      <c r="D543" s="74">
        <f t="shared" si="516"/>
        <v>1000</v>
      </c>
      <c r="E543" s="74">
        <f t="shared" si="516"/>
        <v>99999000</v>
      </c>
      <c r="F543" s="67" t="s">
        <v>230</v>
      </c>
      <c r="G543" s="67" t="s">
        <v>1052</v>
      </c>
      <c r="H543" s="37">
        <f t="shared" si="467"/>
        <v>540</v>
      </c>
      <c r="I543" s="37"/>
    </row>
    <row r="544" spans="1:9">
      <c r="A544" s="37" t="s">
        <v>4098</v>
      </c>
      <c r="B544" s="37" t="s">
        <v>4025</v>
      </c>
      <c r="C544" s="74">
        <f t="shared" ref="C544:E544" si="517">C526</f>
        <v>0</v>
      </c>
      <c r="D544" s="74">
        <f t="shared" si="517"/>
        <v>0</v>
      </c>
      <c r="E544" s="74">
        <f t="shared" si="517"/>
        <v>1</v>
      </c>
      <c r="F544" s="67" t="s">
        <v>230</v>
      </c>
      <c r="G544" s="67" t="s">
        <v>1052</v>
      </c>
      <c r="H544" s="37">
        <f t="shared" si="467"/>
        <v>541</v>
      </c>
      <c r="I544" s="37"/>
    </row>
    <row r="545" spans="1:9">
      <c r="A545" s="37" t="s">
        <v>2000</v>
      </c>
      <c r="B545" s="37" t="s">
        <v>2001</v>
      </c>
      <c r="C545" s="92">
        <f t="shared" si="462"/>
        <v>214</v>
      </c>
      <c r="D545" s="74">
        <f t="shared" ref="D545:E545" si="518">D527</f>
        <v>1</v>
      </c>
      <c r="E545" s="74">
        <f t="shared" si="518"/>
        <v>4096</v>
      </c>
      <c r="F545" s="67" t="s">
        <v>230</v>
      </c>
      <c r="G545" s="67" t="s">
        <v>230</v>
      </c>
      <c r="H545" s="37">
        <f t="shared" si="467"/>
        <v>542</v>
      </c>
      <c r="I545" s="37"/>
    </row>
    <row r="546" spans="1:9">
      <c r="A546" s="37" t="s">
        <v>2002</v>
      </c>
      <c r="B546" s="37" t="s">
        <v>2003</v>
      </c>
      <c r="C546" s="74" t="str">
        <f t="shared" ref="C546:E546" si="519">C528</f>
        <v>0x00000000</v>
      </c>
      <c r="D546" s="74" t="str">
        <f t="shared" si="519"/>
        <v>0x80000000</v>
      </c>
      <c r="E546" s="74" t="str">
        <f t="shared" si="519"/>
        <v>0x7fffffff</v>
      </c>
      <c r="F546" s="67" t="s">
        <v>230</v>
      </c>
      <c r="G546" s="67" t="s">
        <v>1052</v>
      </c>
      <c r="H546" s="37">
        <f t="shared" si="467"/>
        <v>543</v>
      </c>
      <c r="I546" s="37"/>
    </row>
    <row r="547" spans="1:9">
      <c r="A547" s="37" t="s">
        <v>2004</v>
      </c>
      <c r="B547" s="37" t="s">
        <v>2005</v>
      </c>
      <c r="C547" s="74">
        <f t="shared" ref="C547:E547" si="520">C529</f>
        <v>0</v>
      </c>
      <c r="D547" s="74">
        <f t="shared" si="520"/>
        <v>0</v>
      </c>
      <c r="E547" s="74">
        <f t="shared" si="520"/>
        <v>65535</v>
      </c>
      <c r="F547" s="67" t="s">
        <v>230</v>
      </c>
      <c r="G547" s="67" t="s">
        <v>1052</v>
      </c>
      <c r="H547" s="37">
        <f t="shared" si="467"/>
        <v>544</v>
      </c>
      <c r="I547" s="37"/>
    </row>
    <row r="548" spans="1:9">
      <c r="A548" s="37" t="s">
        <v>2006</v>
      </c>
      <c r="B548" s="37" t="s">
        <v>2007</v>
      </c>
      <c r="C548" s="74">
        <f t="shared" ref="C548:E548" si="521">C530</f>
        <v>1</v>
      </c>
      <c r="D548" s="74">
        <f t="shared" si="521"/>
        <v>0</v>
      </c>
      <c r="E548" s="74">
        <f t="shared" si="521"/>
        <v>1</v>
      </c>
      <c r="F548" s="67" t="s">
        <v>230</v>
      </c>
      <c r="G548" s="67" t="s">
        <v>1052</v>
      </c>
      <c r="H548" s="37">
        <f t="shared" si="467"/>
        <v>545</v>
      </c>
      <c r="I548" s="37"/>
    </row>
    <row r="549" spans="1:9">
      <c r="A549" s="37" t="s">
        <v>2008</v>
      </c>
      <c r="B549" s="37" t="s">
        <v>2009</v>
      </c>
      <c r="C549" s="74">
        <f t="shared" ref="C549:E549" si="522">C531</f>
        <v>0</v>
      </c>
      <c r="D549" s="74">
        <f t="shared" si="522"/>
        <v>0</v>
      </c>
      <c r="E549" s="74">
        <f t="shared" si="522"/>
        <v>65535</v>
      </c>
      <c r="F549" s="67" t="s">
        <v>230</v>
      </c>
      <c r="G549" s="67" t="s">
        <v>1052</v>
      </c>
      <c r="H549" s="37">
        <f t="shared" si="467"/>
        <v>546</v>
      </c>
      <c r="I549" s="37"/>
    </row>
    <row r="550" spans="1:9">
      <c r="A550" s="37" t="s">
        <v>2010</v>
      </c>
      <c r="B550" s="37" t="s">
        <v>2011</v>
      </c>
      <c r="C550" s="74">
        <f t="shared" ref="C550:E550" si="523">C532</f>
        <v>0</v>
      </c>
      <c r="D550" s="74">
        <f t="shared" si="523"/>
        <v>0</v>
      </c>
      <c r="E550" s="74">
        <f t="shared" si="523"/>
        <v>1</v>
      </c>
      <c r="F550" s="67" t="s">
        <v>230</v>
      </c>
      <c r="G550" s="67" t="s">
        <v>1052</v>
      </c>
      <c r="H550" s="37">
        <f t="shared" si="467"/>
        <v>547</v>
      </c>
      <c r="I550" s="37"/>
    </row>
    <row r="551" spans="1:9">
      <c r="A551" s="37" t="s">
        <v>2012</v>
      </c>
      <c r="B551" s="37" t="s">
        <v>2013</v>
      </c>
      <c r="C551" s="74">
        <f t="shared" ref="C551:E551" si="524">C533</f>
        <v>1</v>
      </c>
      <c r="D551" s="74">
        <f t="shared" si="524"/>
        <v>0</v>
      </c>
      <c r="E551" s="74">
        <f t="shared" si="524"/>
        <v>2</v>
      </c>
      <c r="F551" s="67" t="s">
        <v>230</v>
      </c>
      <c r="G551" s="67" t="s">
        <v>1052</v>
      </c>
      <c r="H551" s="37">
        <f t="shared" si="467"/>
        <v>548</v>
      </c>
      <c r="I551" s="37"/>
    </row>
    <row r="552" spans="1:9">
      <c r="A552" s="37" t="s">
        <v>2014</v>
      </c>
      <c r="B552" s="37" t="s">
        <v>2015</v>
      </c>
      <c r="C552" s="74">
        <f t="shared" ref="C552:E552" si="525">C534</f>
        <v>0</v>
      </c>
      <c r="D552" s="74">
        <f t="shared" si="525"/>
        <v>0</v>
      </c>
      <c r="E552" s="74">
        <f t="shared" si="525"/>
        <v>3</v>
      </c>
      <c r="F552" s="67" t="s">
        <v>230</v>
      </c>
      <c r="G552" s="67" t="s">
        <v>1052</v>
      </c>
      <c r="H552" s="37">
        <f t="shared" si="467"/>
        <v>549</v>
      </c>
      <c r="I552" s="37"/>
    </row>
    <row r="553" spans="1:9">
      <c r="A553" s="37" t="s">
        <v>2016</v>
      </c>
      <c r="B553" s="37" t="s">
        <v>2017</v>
      </c>
      <c r="C553" s="74">
        <f t="shared" ref="C553:E553" si="526">C535</f>
        <v>0</v>
      </c>
      <c r="D553" s="74">
        <f t="shared" si="526"/>
        <v>0</v>
      </c>
      <c r="E553" s="74">
        <f t="shared" si="526"/>
        <v>3</v>
      </c>
      <c r="F553" s="67" t="s">
        <v>230</v>
      </c>
      <c r="G553" s="67" t="s">
        <v>1052</v>
      </c>
      <c r="H553" s="37">
        <f t="shared" si="467"/>
        <v>550</v>
      </c>
      <c r="I553" s="37"/>
    </row>
    <row r="554" spans="1:9">
      <c r="A554" s="37" t="s">
        <v>2018</v>
      </c>
      <c r="B554" s="37" t="s">
        <v>2019</v>
      </c>
      <c r="C554" s="74">
        <f t="shared" ref="C554:E554" si="527">C536</f>
        <v>0</v>
      </c>
      <c r="D554" s="74">
        <f t="shared" si="527"/>
        <v>0</v>
      </c>
      <c r="E554" s="74">
        <f t="shared" si="527"/>
        <v>3</v>
      </c>
      <c r="F554" s="67" t="s">
        <v>230</v>
      </c>
      <c r="G554" s="67" t="s">
        <v>1052</v>
      </c>
      <c r="H554" s="37">
        <f t="shared" si="467"/>
        <v>551</v>
      </c>
      <c r="I554" s="37"/>
    </row>
    <row r="555" spans="1:9">
      <c r="A555" s="37" t="s">
        <v>2020</v>
      </c>
      <c r="B555" s="37" t="s">
        <v>2683</v>
      </c>
      <c r="C555" s="74">
        <f t="shared" ref="C555:E555" si="528">C537</f>
        <v>0</v>
      </c>
      <c r="D555" s="74">
        <f t="shared" si="528"/>
        <v>0</v>
      </c>
      <c r="E555" s="74">
        <f t="shared" si="528"/>
        <v>1</v>
      </c>
      <c r="F555" s="67" t="s">
        <v>230</v>
      </c>
      <c r="G555" s="67" t="s">
        <v>1052</v>
      </c>
      <c r="H555" s="37">
        <f t="shared" si="467"/>
        <v>552</v>
      </c>
      <c r="I555" s="37"/>
    </row>
    <row r="556" spans="1:9">
      <c r="A556" s="37" t="s">
        <v>2021</v>
      </c>
      <c r="B556" s="37" t="s">
        <v>2022</v>
      </c>
      <c r="C556" s="74">
        <f t="shared" ref="C556:E556" si="529">C538</f>
        <v>0</v>
      </c>
      <c r="D556" s="74">
        <f t="shared" si="529"/>
        <v>0</v>
      </c>
      <c r="E556" s="74">
        <f t="shared" si="529"/>
        <v>1</v>
      </c>
      <c r="F556" s="67" t="s">
        <v>230</v>
      </c>
      <c r="G556" s="67" t="s">
        <v>1052</v>
      </c>
      <c r="H556" s="37">
        <f t="shared" si="467"/>
        <v>553</v>
      </c>
      <c r="I556" s="37"/>
    </row>
    <row r="557" spans="1:9">
      <c r="A557" s="37" t="s">
        <v>2023</v>
      </c>
      <c r="B557" s="37" t="s">
        <v>2024</v>
      </c>
      <c r="C557" s="74">
        <f t="shared" ref="C557:E557" si="530">C539</f>
        <v>0</v>
      </c>
      <c r="D557" s="74">
        <f t="shared" si="530"/>
        <v>0</v>
      </c>
      <c r="E557" s="74">
        <f t="shared" si="530"/>
        <v>4</v>
      </c>
      <c r="F557" s="67" t="s">
        <v>230</v>
      </c>
      <c r="G557" s="67" t="s">
        <v>1052</v>
      </c>
      <c r="H557" s="37">
        <f t="shared" si="467"/>
        <v>554</v>
      </c>
      <c r="I557" s="37"/>
    </row>
    <row r="558" spans="1:9">
      <c r="A558" s="37" t="s">
        <v>2025</v>
      </c>
      <c r="B558" s="37" t="s">
        <v>2026</v>
      </c>
      <c r="C558" s="74" t="str">
        <f t="shared" ref="C558:E558" si="531">C540</f>
        <v>(空文字)</v>
      </c>
      <c r="D558" s="74" t="str">
        <f t="shared" si="531"/>
        <v>(空文字)</v>
      </c>
      <c r="E558" s="74" t="str">
        <f t="shared" si="531"/>
        <v>(空文字)</v>
      </c>
      <c r="F558" s="67" t="s">
        <v>230</v>
      </c>
      <c r="G558" s="67" t="s">
        <v>1052</v>
      </c>
      <c r="H558" s="37">
        <f t="shared" ref="H558:H621" si="532">ROW()-3</f>
        <v>555</v>
      </c>
      <c r="I558" s="37"/>
    </row>
    <row r="559" spans="1:9">
      <c r="A559" s="37" t="s">
        <v>2027</v>
      </c>
      <c r="B559" s="37" t="s">
        <v>2028</v>
      </c>
      <c r="C559" s="74" t="str">
        <f t="shared" ref="C559:E559" si="533">C541</f>
        <v>(空文字)</v>
      </c>
      <c r="D559" s="74" t="str">
        <f t="shared" si="533"/>
        <v>(空文字)</v>
      </c>
      <c r="E559" s="74" t="str">
        <f t="shared" si="533"/>
        <v>(空文字)</v>
      </c>
      <c r="F559" s="67" t="s">
        <v>230</v>
      </c>
      <c r="G559" s="67" t="s">
        <v>1052</v>
      </c>
      <c r="H559" s="37">
        <f t="shared" si="532"/>
        <v>556</v>
      </c>
      <c r="I559" s="37"/>
    </row>
    <row r="560" spans="1:9">
      <c r="A560" s="37" t="s">
        <v>2029</v>
      </c>
      <c r="B560" s="37" t="s">
        <v>2030</v>
      </c>
      <c r="C560" s="74">
        <f t="shared" ref="C560:E560" si="534">C542</f>
        <v>0</v>
      </c>
      <c r="D560" s="74">
        <f t="shared" si="534"/>
        <v>0</v>
      </c>
      <c r="E560" s="74">
        <f t="shared" si="534"/>
        <v>3</v>
      </c>
      <c r="F560" s="67" t="s">
        <v>230</v>
      </c>
      <c r="G560" s="67" t="s">
        <v>1052</v>
      </c>
      <c r="H560" s="37">
        <f t="shared" si="532"/>
        <v>557</v>
      </c>
      <c r="I560" s="37"/>
    </row>
    <row r="561" spans="1:9">
      <c r="A561" s="37" t="s">
        <v>3945</v>
      </c>
      <c r="B561" s="37" t="s">
        <v>4026</v>
      </c>
      <c r="C561" s="74">
        <f t="shared" ref="C561:E561" si="535">C543</f>
        <v>10000</v>
      </c>
      <c r="D561" s="74">
        <f t="shared" si="535"/>
        <v>1000</v>
      </c>
      <c r="E561" s="74">
        <f t="shared" si="535"/>
        <v>99999000</v>
      </c>
      <c r="F561" s="67" t="s">
        <v>230</v>
      </c>
      <c r="G561" s="67" t="s">
        <v>1052</v>
      </c>
      <c r="H561" s="37">
        <f t="shared" si="532"/>
        <v>558</v>
      </c>
      <c r="I561" s="37"/>
    </row>
    <row r="562" spans="1:9">
      <c r="A562" s="37" t="s">
        <v>4099</v>
      </c>
      <c r="B562" s="37" t="s">
        <v>4027</v>
      </c>
      <c r="C562" s="74">
        <f t="shared" ref="C562:E562" si="536">C544</f>
        <v>0</v>
      </c>
      <c r="D562" s="74">
        <f t="shared" si="536"/>
        <v>0</v>
      </c>
      <c r="E562" s="74">
        <f t="shared" si="536"/>
        <v>1</v>
      </c>
      <c r="F562" s="67" t="s">
        <v>230</v>
      </c>
      <c r="G562" s="67" t="s">
        <v>1052</v>
      </c>
      <c r="H562" s="37">
        <f t="shared" si="532"/>
        <v>559</v>
      </c>
      <c r="I562" s="37"/>
    </row>
    <row r="563" spans="1:9">
      <c r="A563" s="37" t="s">
        <v>2031</v>
      </c>
      <c r="B563" s="37" t="s">
        <v>2032</v>
      </c>
      <c r="C563" s="92">
        <f t="shared" ref="C563:C617" si="537">C545+1</f>
        <v>215</v>
      </c>
      <c r="D563" s="74">
        <f t="shared" ref="D563:E563" si="538">D545</f>
        <v>1</v>
      </c>
      <c r="E563" s="74">
        <f t="shared" si="538"/>
        <v>4096</v>
      </c>
      <c r="F563" s="67" t="s">
        <v>230</v>
      </c>
      <c r="G563" s="67" t="s">
        <v>230</v>
      </c>
      <c r="H563" s="37">
        <f t="shared" si="532"/>
        <v>560</v>
      </c>
      <c r="I563" s="37"/>
    </row>
    <row r="564" spans="1:9">
      <c r="A564" s="37" t="s">
        <v>2033</v>
      </c>
      <c r="B564" s="37" t="s">
        <v>2034</v>
      </c>
      <c r="C564" s="74" t="str">
        <f t="shared" ref="C564:E564" si="539">C546</f>
        <v>0x00000000</v>
      </c>
      <c r="D564" s="74" t="str">
        <f t="shared" si="539"/>
        <v>0x80000000</v>
      </c>
      <c r="E564" s="74" t="str">
        <f t="shared" si="539"/>
        <v>0x7fffffff</v>
      </c>
      <c r="F564" s="67" t="s">
        <v>230</v>
      </c>
      <c r="G564" s="67" t="s">
        <v>1052</v>
      </c>
      <c r="H564" s="37">
        <f t="shared" si="532"/>
        <v>561</v>
      </c>
      <c r="I564" s="37"/>
    </row>
    <row r="565" spans="1:9">
      <c r="A565" s="37" t="s">
        <v>2035</v>
      </c>
      <c r="B565" s="37" t="s">
        <v>2036</v>
      </c>
      <c r="C565" s="74">
        <f t="shared" ref="C565:E565" si="540">C547</f>
        <v>0</v>
      </c>
      <c r="D565" s="74">
        <f t="shared" si="540"/>
        <v>0</v>
      </c>
      <c r="E565" s="74">
        <f t="shared" si="540"/>
        <v>65535</v>
      </c>
      <c r="F565" s="67" t="s">
        <v>230</v>
      </c>
      <c r="G565" s="67" t="s">
        <v>1052</v>
      </c>
      <c r="H565" s="37">
        <f t="shared" si="532"/>
        <v>562</v>
      </c>
      <c r="I565" s="37"/>
    </row>
    <row r="566" spans="1:9">
      <c r="A566" s="37" t="s">
        <v>2037</v>
      </c>
      <c r="B566" s="37" t="s">
        <v>2038</v>
      </c>
      <c r="C566" s="74">
        <f t="shared" ref="C566:E566" si="541">C548</f>
        <v>1</v>
      </c>
      <c r="D566" s="74">
        <f t="shared" si="541"/>
        <v>0</v>
      </c>
      <c r="E566" s="74">
        <f t="shared" si="541"/>
        <v>1</v>
      </c>
      <c r="F566" s="67" t="s">
        <v>230</v>
      </c>
      <c r="G566" s="67" t="s">
        <v>1052</v>
      </c>
      <c r="H566" s="37">
        <f t="shared" si="532"/>
        <v>563</v>
      </c>
      <c r="I566" s="37"/>
    </row>
    <row r="567" spans="1:9">
      <c r="A567" s="37" t="s">
        <v>2039</v>
      </c>
      <c r="B567" s="37" t="s">
        <v>2040</v>
      </c>
      <c r="C567" s="74">
        <f t="shared" ref="C567:E567" si="542">C549</f>
        <v>0</v>
      </c>
      <c r="D567" s="74">
        <f t="shared" si="542"/>
        <v>0</v>
      </c>
      <c r="E567" s="74">
        <f t="shared" si="542"/>
        <v>65535</v>
      </c>
      <c r="F567" s="67" t="s">
        <v>230</v>
      </c>
      <c r="G567" s="67" t="s">
        <v>1052</v>
      </c>
      <c r="H567" s="37">
        <f t="shared" si="532"/>
        <v>564</v>
      </c>
      <c r="I567" s="37"/>
    </row>
    <row r="568" spans="1:9">
      <c r="A568" s="37" t="s">
        <v>2041</v>
      </c>
      <c r="B568" s="37" t="s">
        <v>2042</v>
      </c>
      <c r="C568" s="74">
        <f t="shared" ref="C568:E568" si="543">C550</f>
        <v>0</v>
      </c>
      <c r="D568" s="74">
        <f t="shared" si="543"/>
        <v>0</v>
      </c>
      <c r="E568" s="74">
        <f t="shared" si="543"/>
        <v>1</v>
      </c>
      <c r="F568" s="67" t="s">
        <v>230</v>
      </c>
      <c r="G568" s="67" t="s">
        <v>1052</v>
      </c>
      <c r="H568" s="37">
        <f t="shared" si="532"/>
        <v>565</v>
      </c>
      <c r="I568" s="37"/>
    </row>
    <row r="569" spans="1:9">
      <c r="A569" s="37" t="s">
        <v>2043</v>
      </c>
      <c r="B569" s="37" t="s">
        <v>2044</v>
      </c>
      <c r="C569" s="74">
        <f t="shared" ref="C569:E569" si="544">C551</f>
        <v>1</v>
      </c>
      <c r="D569" s="74">
        <f t="shared" si="544"/>
        <v>0</v>
      </c>
      <c r="E569" s="74">
        <f t="shared" si="544"/>
        <v>2</v>
      </c>
      <c r="F569" s="67" t="s">
        <v>230</v>
      </c>
      <c r="G569" s="67" t="s">
        <v>1052</v>
      </c>
      <c r="H569" s="37">
        <f t="shared" si="532"/>
        <v>566</v>
      </c>
      <c r="I569" s="37"/>
    </row>
    <row r="570" spans="1:9">
      <c r="A570" s="37" t="s">
        <v>2045</v>
      </c>
      <c r="B570" s="37" t="s">
        <v>2046</v>
      </c>
      <c r="C570" s="74">
        <f t="shared" ref="C570:E570" si="545">C552</f>
        <v>0</v>
      </c>
      <c r="D570" s="74">
        <f t="shared" si="545"/>
        <v>0</v>
      </c>
      <c r="E570" s="74">
        <f t="shared" si="545"/>
        <v>3</v>
      </c>
      <c r="F570" s="67" t="s">
        <v>230</v>
      </c>
      <c r="G570" s="67" t="s">
        <v>1052</v>
      </c>
      <c r="H570" s="37">
        <f t="shared" si="532"/>
        <v>567</v>
      </c>
      <c r="I570" s="37"/>
    </row>
    <row r="571" spans="1:9">
      <c r="A571" s="37" t="s">
        <v>2047</v>
      </c>
      <c r="B571" s="37" t="s">
        <v>2048</v>
      </c>
      <c r="C571" s="74">
        <f t="shared" ref="C571:E571" si="546">C553</f>
        <v>0</v>
      </c>
      <c r="D571" s="74">
        <f t="shared" si="546"/>
        <v>0</v>
      </c>
      <c r="E571" s="74">
        <f t="shared" si="546"/>
        <v>3</v>
      </c>
      <c r="F571" s="67" t="s">
        <v>230</v>
      </c>
      <c r="G571" s="67" t="s">
        <v>1052</v>
      </c>
      <c r="H571" s="37">
        <f t="shared" si="532"/>
        <v>568</v>
      </c>
      <c r="I571" s="37"/>
    </row>
    <row r="572" spans="1:9">
      <c r="A572" s="37" t="s">
        <v>2049</v>
      </c>
      <c r="B572" s="37" t="s">
        <v>2050</v>
      </c>
      <c r="C572" s="74">
        <f t="shared" ref="C572:E572" si="547">C554</f>
        <v>0</v>
      </c>
      <c r="D572" s="74">
        <f t="shared" si="547"/>
        <v>0</v>
      </c>
      <c r="E572" s="74">
        <f t="shared" si="547"/>
        <v>3</v>
      </c>
      <c r="F572" s="67" t="s">
        <v>230</v>
      </c>
      <c r="G572" s="67" t="s">
        <v>1052</v>
      </c>
      <c r="H572" s="37">
        <f t="shared" si="532"/>
        <v>569</v>
      </c>
      <c r="I572" s="37"/>
    </row>
    <row r="573" spans="1:9">
      <c r="A573" s="37" t="s">
        <v>2051</v>
      </c>
      <c r="B573" s="37" t="s">
        <v>2684</v>
      </c>
      <c r="C573" s="74">
        <f t="shared" ref="C573:E573" si="548">C555</f>
        <v>0</v>
      </c>
      <c r="D573" s="74">
        <f t="shared" si="548"/>
        <v>0</v>
      </c>
      <c r="E573" s="74">
        <f t="shared" si="548"/>
        <v>1</v>
      </c>
      <c r="F573" s="67" t="s">
        <v>230</v>
      </c>
      <c r="G573" s="67" t="s">
        <v>1052</v>
      </c>
      <c r="H573" s="37">
        <f t="shared" si="532"/>
        <v>570</v>
      </c>
      <c r="I573" s="37"/>
    </row>
    <row r="574" spans="1:9">
      <c r="A574" s="37" t="s">
        <v>2052</v>
      </c>
      <c r="B574" s="37" t="s">
        <v>2053</v>
      </c>
      <c r="C574" s="74">
        <f t="shared" ref="C574:E574" si="549">C556</f>
        <v>0</v>
      </c>
      <c r="D574" s="74">
        <f t="shared" si="549"/>
        <v>0</v>
      </c>
      <c r="E574" s="74">
        <f t="shared" si="549"/>
        <v>1</v>
      </c>
      <c r="F574" s="67" t="s">
        <v>230</v>
      </c>
      <c r="G574" s="67" t="s">
        <v>1052</v>
      </c>
      <c r="H574" s="37">
        <f t="shared" si="532"/>
        <v>571</v>
      </c>
      <c r="I574" s="37"/>
    </row>
    <row r="575" spans="1:9">
      <c r="A575" s="37" t="s">
        <v>2054</v>
      </c>
      <c r="B575" s="37" t="s">
        <v>2055</v>
      </c>
      <c r="C575" s="74">
        <f t="shared" ref="C575:E575" si="550">C557</f>
        <v>0</v>
      </c>
      <c r="D575" s="74">
        <f t="shared" si="550"/>
        <v>0</v>
      </c>
      <c r="E575" s="74">
        <f t="shared" si="550"/>
        <v>4</v>
      </c>
      <c r="F575" s="67" t="s">
        <v>230</v>
      </c>
      <c r="G575" s="67" t="s">
        <v>1052</v>
      </c>
      <c r="H575" s="37">
        <f t="shared" si="532"/>
        <v>572</v>
      </c>
      <c r="I575" s="37"/>
    </row>
    <row r="576" spans="1:9">
      <c r="A576" s="37" t="s">
        <v>2056</v>
      </c>
      <c r="B576" s="37" t="s">
        <v>2057</v>
      </c>
      <c r="C576" s="74" t="str">
        <f t="shared" ref="C576:E576" si="551">C558</f>
        <v>(空文字)</v>
      </c>
      <c r="D576" s="74" t="str">
        <f t="shared" si="551"/>
        <v>(空文字)</v>
      </c>
      <c r="E576" s="74" t="str">
        <f t="shared" si="551"/>
        <v>(空文字)</v>
      </c>
      <c r="F576" s="67" t="s">
        <v>230</v>
      </c>
      <c r="G576" s="67" t="s">
        <v>1052</v>
      </c>
      <c r="H576" s="37">
        <f t="shared" si="532"/>
        <v>573</v>
      </c>
      <c r="I576" s="37"/>
    </row>
    <row r="577" spans="1:9">
      <c r="A577" s="37" t="s">
        <v>2058</v>
      </c>
      <c r="B577" s="37" t="s">
        <v>2059</v>
      </c>
      <c r="C577" s="74" t="str">
        <f t="shared" ref="C577:E577" si="552">C559</f>
        <v>(空文字)</v>
      </c>
      <c r="D577" s="74" t="str">
        <f t="shared" si="552"/>
        <v>(空文字)</v>
      </c>
      <c r="E577" s="74" t="str">
        <f t="shared" si="552"/>
        <v>(空文字)</v>
      </c>
      <c r="F577" s="67" t="s">
        <v>230</v>
      </c>
      <c r="G577" s="67" t="s">
        <v>1052</v>
      </c>
      <c r="H577" s="37">
        <f t="shared" si="532"/>
        <v>574</v>
      </c>
      <c r="I577" s="37"/>
    </row>
    <row r="578" spans="1:9">
      <c r="A578" s="37" t="s">
        <v>2060</v>
      </c>
      <c r="B578" s="37" t="s">
        <v>2061</v>
      </c>
      <c r="C578" s="74">
        <f t="shared" ref="C578:E578" si="553">C560</f>
        <v>0</v>
      </c>
      <c r="D578" s="74">
        <f t="shared" si="553"/>
        <v>0</v>
      </c>
      <c r="E578" s="74">
        <f t="shared" si="553"/>
        <v>3</v>
      </c>
      <c r="F578" s="67" t="s">
        <v>230</v>
      </c>
      <c r="G578" s="67" t="s">
        <v>1052</v>
      </c>
      <c r="H578" s="37">
        <f t="shared" si="532"/>
        <v>575</v>
      </c>
      <c r="I578" s="37"/>
    </row>
    <row r="579" spans="1:9">
      <c r="A579" s="37" t="s">
        <v>3946</v>
      </c>
      <c r="B579" s="37" t="s">
        <v>4028</v>
      </c>
      <c r="C579" s="74">
        <f t="shared" ref="C579:E579" si="554">C561</f>
        <v>10000</v>
      </c>
      <c r="D579" s="74">
        <f t="shared" si="554"/>
        <v>1000</v>
      </c>
      <c r="E579" s="74">
        <f t="shared" si="554"/>
        <v>99999000</v>
      </c>
      <c r="F579" s="67" t="s">
        <v>230</v>
      </c>
      <c r="G579" s="67" t="s">
        <v>1052</v>
      </c>
      <c r="H579" s="37">
        <f t="shared" si="532"/>
        <v>576</v>
      </c>
      <c r="I579" s="37"/>
    </row>
    <row r="580" spans="1:9">
      <c r="A580" s="37" t="s">
        <v>4100</v>
      </c>
      <c r="B580" s="37" t="s">
        <v>4029</v>
      </c>
      <c r="C580" s="74">
        <f t="shared" ref="C580:E580" si="555">C562</f>
        <v>0</v>
      </c>
      <c r="D580" s="74">
        <f t="shared" si="555"/>
        <v>0</v>
      </c>
      <c r="E580" s="74">
        <f t="shared" si="555"/>
        <v>1</v>
      </c>
      <c r="F580" s="67" t="s">
        <v>230</v>
      </c>
      <c r="G580" s="67" t="s">
        <v>1052</v>
      </c>
      <c r="H580" s="37">
        <f t="shared" si="532"/>
        <v>577</v>
      </c>
      <c r="I580" s="37"/>
    </row>
    <row r="581" spans="1:9">
      <c r="A581" s="37" t="s">
        <v>2062</v>
      </c>
      <c r="B581" s="37" t="s">
        <v>2063</v>
      </c>
      <c r="C581" s="92">
        <f t="shared" si="537"/>
        <v>216</v>
      </c>
      <c r="D581" s="74">
        <f t="shared" ref="D581:E581" si="556">D563</f>
        <v>1</v>
      </c>
      <c r="E581" s="74">
        <f t="shared" si="556"/>
        <v>4096</v>
      </c>
      <c r="F581" s="67" t="s">
        <v>230</v>
      </c>
      <c r="G581" s="67" t="s">
        <v>230</v>
      </c>
      <c r="H581" s="37">
        <f t="shared" si="532"/>
        <v>578</v>
      </c>
      <c r="I581" s="37"/>
    </row>
    <row r="582" spans="1:9">
      <c r="A582" s="37" t="s">
        <v>2064</v>
      </c>
      <c r="B582" s="37" t="s">
        <v>2065</v>
      </c>
      <c r="C582" s="74" t="str">
        <f t="shared" ref="C582:E582" si="557">C564</f>
        <v>0x00000000</v>
      </c>
      <c r="D582" s="74" t="str">
        <f t="shared" si="557"/>
        <v>0x80000000</v>
      </c>
      <c r="E582" s="74" t="str">
        <f t="shared" si="557"/>
        <v>0x7fffffff</v>
      </c>
      <c r="F582" s="67" t="s">
        <v>230</v>
      </c>
      <c r="G582" s="67" t="s">
        <v>1052</v>
      </c>
      <c r="H582" s="37">
        <f t="shared" si="532"/>
        <v>579</v>
      </c>
      <c r="I582" s="37"/>
    </row>
    <row r="583" spans="1:9">
      <c r="A583" s="37" t="s">
        <v>2066</v>
      </c>
      <c r="B583" s="37" t="s">
        <v>2067</v>
      </c>
      <c r="C583" s="74">
        <f t="shared" ref="C583:E583" si="558">C565</f>
        <v>0</v>
      </c>
      <c r="D583" s="74">
        <f t="shared" si="558"/>
        <v>0</v>
      </c>
      <c r="E583" s="74">
        <f t="shared" si="558"/>
        <v>65535</v>
      </c>
      <c r="F583" s="67" t="s">
        <v>230</v>
      </c>
      <c r="G583" s="67" t="s">
        <v>1052</v>
      </c>
      <c r="H583" s="37">
        <f t="shared" si="532"/>
        <v>580</v>
      </c>
      <c r="I583" s="37"/>
    </row>
    <row r="584" spans="1:9">
      <c r="A584" s="37" t="s">
        <v>2068</v>
      </c>
      <c r="B584" s="37" t="s">
        <v>2069</v>
      </c>
      <c r="C584" s="74">
        <f t="shared" ref="C584:E584" si="559">C566</f>
        <v>1</v>
      </c>
      <c r="D584" s="74">
        <f t="shared" si="559"/>
        <v>0</v>
      </c>
      <c r="E584" s="74">
        <f t="shared" si="559"/>
        <v>1</v>
      </c>
      <c r="F584" s="67" t="s">
        <v>230</v>
      </c>
      <c r="G584" s="67" t="s">
        <v>1052</v>
      </c>
      <c r="H584" s="37">
        <f t="shared" si="532"/>
        <v>581</v>
      </c>
      <c r="I584" s="37"/>
    </row>
    <row r="585" spans="1:9">
      <c r="A585" s="37" t="s">
        <v>2070</v>
      </c>
      <c r="B585" s="37" t="s">
        <v>2071</v>
      </c>
      <c r="C585" s="74">
        <f t="shared" ref="C585:E585" si="560">C567</f>
        <v>0</v>
      </c>
      <c r="D585" s="74">
        <f t="shared" si="560"/>
        <v>0</v>
      </c>
      <c r="E585" s="74">
        <f t="shared" si="560"/>
        <v>65535</v>
      </c>
      <c r="F585" s="67" t="s">
        <v>230</v>
      </c>
      <c r="G585" s="67" t="s">
        <v>1052</v>
      </c>
      <c r="H585" s="37">
        <f t="shared" si="532"/>
        <v>582</v>
      </c>
      <c r="I585" s="37"/>
    </row>
    <row r="586" spans="1:9">
      <c r="A586" s="37" t="s">
        <v>2072</v>
      </c>
      <c r="B586" s="37" t="s">
        <v>2073</v>
      </c>
      <c r="C586" s="74">
        <f t="shared" ref="C586:E586" si="561">C568</f>
        <v>0</v>
      </c>
      <c r="D586" s="74">
        <f t="shared" si="561"/>
        <v>0</v>
      </c>
      <c r="E586" s="74">
        <f t="shared" si="561"/>
        <v>1</v>
      </c>
      <c r="F586" s="67" t="s">
        <v>230</v>
      </c>
      <c r="G586" s="67" t="s">
        <v>1052</v>
      </c>
      <c r="H586" s="37">
        <f t="shared" si="532"/>
        <v>583</v>
      </c>
      <c r="I586" s="37"/>
    </row>
    <row r="587" spans="1:9">
      <c r="A587" s="37" t="s">
        <v>2074</v>
      </c>
      <c r="B587" s="37" t="s">
        <v>2075</v>
      </c>
      <c r="C587" s="74">
        <f t="shared" ref="C587:E587" si="562">C569</f>
        <v>1</v>
      </c>
      <c r="D587" s="74">
        <f t="shared" si="562"/>
        <v>0</v>
      </c>
      <c r="E587" s="74">
        <f t="shared" si="562"/>
        <v>2</v>
      </c>
      <c r="F587" s="67" t="s">
        <v>230</v>
      </c>
      <c r="G587" s="67" t="s">
        <v>1052</v>
      </c>
      <c r="H587" s="37">
        <f t="shared" si="532"/>
        <v>584</v>
      </c>
      <c r="I587" s="37"/>
    </row>
    <row r="588" spans="1:9">
      <c r="A588" s="37" t="s">
        <v>2076</v>
      </c>
      <c r="B588" s="37" t="s">
        <v>2077</v>
      </c>
      <c r="C588" s="74">
        <f t="shared" ref="C588:E588" si="563">C570</f>
        <v>0</v>
      </c>
      <c r="D588" s="74">
        <f t="shared" si="563"/>
        <v>0</v>
      </c>
      <c r="E588" s="74">
        <f t="shared" si="563"/>
        <v>3</v>
      </c>
      <c r="F588" s="67" t="s">
        <v>230</v>
      </c>
      <c r="G588" s="67" t="s">
        <v>1052</v>
      </c>
      <c r="H588" s="37">
        <f t="shared" si="532"/>
        <v>585</v>
      </c>
      <c r="I588" s="37"/>
    </row>
    <row r="589" spans="1:9">
      <c r="A589" s="37" t="s">
        <v>2078</v>
      </c>
      <c r="B589" s="37" t="s">
        <v>2079</v>
      </c>
      <c r="C589" s="74">
        <f t="shared" ref="C589:E589" si="564">C571</f>
        <v>0</v>
      </c>
      <c r="D589" s="74">
        <f t="shared" si="564"/>
        <v>0</v>
      </c>
      <c r="E589" s="74">
        <f t="shared" si="564"/>
        <v>3</v>
      </c>
      <c r="F589" s="67" t="s">
        <v>230</v>
      </c>
      <c r="G589" s="67" t="s">
        <v>1052</v>
      </c>
      <c r="H589" s="37">
        <f t="shared" si="532"/>
        <v>586</v>
      </c>
      <c r="I589" s="37"/>
    </row>
    <row r="590" spans="1:9">
      <c r="A590" s="37" t="s">
        <v>2080</v>
      </c>
      <c r="B590" s="37" t="s">
        <v>2081</v>
      </c>
      <c r="C590" s="74">
        <f t="shared" ref="C590:E590" si="565">C572</f>
        <v>0</v>
      </c>
      <c r="D590" s="74">
        <f t="shared" si="565"/>
        <v>0</v>
      </c>
      <c r="E590" s="74">
        <f t="shared" si="565"/>
        <v>3</v>
      </c>
      <c r="F590" s="67" t="s">
        <v>230</v>
      </c>
      <c r="G590" s="67" t="s">
        <v>1052</v>
      </c>
      <c r="H590" s="37">
        <f t="shared" si="532"/>
        <v>587</v>
      </c>
      <c r="I590" s="37"/>
    </row>
    <row r="591" spans="1:9">
      <c r="A591" s="37" t="s">
        <v>2082</v>
      </c>
      <c r="B591" s="37" t="s">
        <v>2685</v>
      </c>
      <c r="C591" s="74">
        <f t="shared" ref="C591:E591" si="566">C573</f>
        <v>0</v>
      </c>
      <c r="D591" s="74">
        <f t="shared" si="566"/>
        <v>0</v>
      </c>
      <c r="E591" s="74">
        <f t="shared" si="566"/>
        <v>1</v>
      </c>
      <c r="F591" s="67" t="s">
        <v>230</v>
      </c>
      <c r="G591" s="67" t="s">
        <v>1052</v>
      </c>
      <c r="H591" s="37">
        <f t="shared" si="532"/>
        <v>588</v>
      </c>
      <c r="I591" s="37"/>
    </row>
    <row r="592" spans="1:9">
      <c r="A592" s="37" t="s">
        <v>2083</v>
      </c>
      <c r="B592" s="37" t="s">
        <v>2084</v>
      </c>
      <c r="C592" s="74">
        <f t="shared" ref="C592:E592" si="567">C574</f>
        <v>0</v>
      </c>
      <c r="D592" s="74">
        <f t="shared" si="567"/>
        <v>0</v>
      </c>
      <c r="E592" s="74">
        <f t="shared" si="567"/>
        <v>1</v>
      </c>
      <c r="F592" s="67" t="s">
        <v>230</v>
      </c>
      <c r="G592" s="67" t="s">
        <v>1052</v>
      </c>
      <c r="H592" s="37">
        <f t="shared" si="532"/>
        <v>589</v>
      </c>
      <c r="I592" s="37"/>
    </row>
    <row r="593" spans="1:9">
      <c r="A593" s="37" t="s">
        <v>2085</v>
      </c>
      <c r="B593" s="37" t="s">
        <v>2086</v>
      </c>
      <c r="C593" s="74">
        <f t="shared" ref="C593:E593" si="568">C575</f>
        <v>0</v>
      </c>
      <c r="D593" s="74">
        <f t="shared" si="568"/>
        <v>0</v>
      </c>
      <c r="E593" s="74">
        <f t="shared" si="568"/>
        <v>4</v>
      </c>
      <c r="F593" s="67" t="s">
        <v>230</v>
      </c>
      <c r="G593" s="67" t="s">
        <v>1052</v>
      </c>
      <c r="H593" s="37">
        <f t="shared" si="532"/>
        <v>590</v>
      </c>
      <c r="I593" s="37"/>
    </row>
    <row r="594" spans="1:9">
      <c r="A594" s="37" t="s">
        <v>2087</v>
      </c>
      <c r="B594" s="37" t="s">
        <v>2088</v>
      </c>
      <c r="C594" s="74" t="str">
        <f t="shared" ref="C594:E594" si="569">C576</f>
        <v>(空文字)</v>
      </c>
      <c r="D594" s="74" t="str">
        <f t="shared" si="569"/>
        <v>(空文字)</v>
      </c>
      <c r="E594" s="74" t="str">
        <f t="shared" si="569"/>
        <v>(空文字)</v>
      </c>
      <c r="F594" s="67" t="s">
        <v>230</v>
      </c>
      <c r="G594" s="67" t="s">
        <v>1052</v>
      </c>
      <c r="H594" s="37">
        <f t="shared" si="532"/>
        <v>591</v>
      </c>
      <c r="I594" s="37"/>
    </row>
    <row r="595" spans="1:9">
      <c r="A595" s="37" t="s">
        <v>2089</v>
      </c>
      <c r="B595" s="37" t="s">
        <v>2090</v>
      </c>
      <c r="C595" s="74" t="str">
        <f t="shared" ref="C595:E595" si="570">C577</f>
        <v>(空文字)</v>
      </c>
      <c r="D595" s="74" t="str">
        <f t="shared" si="570"/>
        <v>(空文字)</v>
      </c>
      <c r="E595" s="74" t="str">
        <f t="shared" si="570"/>
        <v>(空文字)</v>
      </c>
      <c r="F595" s="67" t="s">
        <v>230</v>
      </c>
      <c r="G595" s="67" t="s">
        <v>1052</v>
      </c>
      <c r="H595" s="37">
        <f t="shared" si="532"/>
        <v>592</v>
      </c>
      <c r="I595" s="37"/>
    </row>
    <row r="596" spans="1:9">
      <c r="A596" s="37" t="s">
        <v>2091</v>
      </c>
      <c r="B596" s="37" t="s">
        <v>2092</v>
      </c>
      <c r="C596" s="74">
        <f t="shared" ref="C596:E596" si="571">C578</f>
        <v>0</v>
      </c>
      <c r="D596" s="74">
        <f t="shared" si="571"/>
        <v>0</v>
      </c>
      <c r="E596" s="74">
        <f t="shared" si="571"/>
        <v>3</v>
      </c>
      <c r="F596" s="67" t="s">
        <v>230</v>
      </c>
      <c r="G596" s="67" t="s">
        <v>1052</v>
      </c>
      <c r="H596" s="37">
        <f t="shared" si="532"/>
        <v>593</v>
      </c>
      <c r="I596" s="37"/>
    </row>
    <row r="597" spans="1:9">
      <c r="A597" s="37" t="s">
        <v>3947</v>
      </c>
      <c r="B597" s="37" t="s">
        <v>4030</v>
      </c>
      <c r="C597" s="74">
        <f t="shared" ref="C597:E597" si="572">C579</f>
        <v>10000</v>
      </c>
      <c r="D597" s="74">
        <f t="shared" si="572"/>
        <v>1000</v>
      </c>
      <c r="E597" s="74">
        <f t="shared" si="572"/>
        <v>99999000</v>
      </c>
      <c r="F597" s="67" t="s">
        <v>230</v>
      </c>
      <c r="G597" s="67" t="s">
        <v>1052</v>
      </c>
      <c r="H597" s="37">
        <f t="shared" si="532"/>
        <v>594</v>
      </c>
      <c r="I597" s="37"/>
    </row>
    <row r="598" spans="1:9">
      <c r="A598" s="37" t="s">
        <v>4101</v>
      </c>
      <c r="B598" s="37" t="s">
        <v>4031</v>
      </c>
      <c r="C598" s="74">
        <f t="shared" ref="C598:E598" si="573">C580</f>
        <v>0</v>
      </c>
      <c r="D598" s="74">
        <f t="shared" si="573"/>
        <v>0</v>
      </c>
      <c r="E598" s="74">
        <f t="shared" si="573"/>
        <v>1</v>
      </c>
      <c r="F598" s="67" t="s">
        <v>230</v>
      </c>
      <c r="G598" s="67" t="s">
        <v>1052</v>
      </c>
      <c r="H598" s="37">
        <f t="shared" si="532"/>
        <v>595</v>
      </c>
      <c r="I598" s="37"/>
    </row>
    <row r="599" spans="1:9">
      <c r="A599" s="37" t="s">
        <v>2093</v>
      </c>
      <c r="B599" s="37" t="s">
        <v>2094</v>
      </c>
      <c r="C599" s="92">
        <f t="shared" si="537"/>
        <v>217</v>
      </c>
      <c r="D599" s="74">
        <f t="shared" ref="D599:E599" si="574">D581</f>
        <v>1</v>
      </c>
      <c r="E599" s="74">
        <f t="shared" si="574"/>
        <v>4096</v>
      </c>
      <c r="F599" s="67" t="s">
        <v>230</v>
      </c>
      <c r="G599" s="67" t="s">
        <v>230</v>
      </c>
      <c r="H599" s="37">
        <f t="shared" si="532"/>
        <v>596</v>
      </c>
      <c r="I599" s="37"/>
    </row>
    <row r="600" spans="1:9">
      <c r="A600" s="37" t="s">
        <v>2095</v>
      </c>
      <c r="B600" s="37" t="s">
        <v>2096</v>
      </c>
      <c r="C600" s="74" t="str">
        <f t="shared" ref="C600:E600" si="575">C582</f>
        <v>0x00000000</v>
      </c>
      <c r="D600" s="74" t="str">
        <f t="shared" si="575"/>
        <v>0x80000000</v>
      </c>
      <c r="E600" s="74" t="str">
        <f t="shared" si="575"/>
        <v>0x7fffffff</v>
      </c>
      <c r="F600" s="67" t="s">
        <v>230</v>
      </c>
      <c r="G600" s="67" t="s">
        <v>1052</v>
      </c>
      <c r="H600" s="37">
        <f t="shared" si="532"/>
        <v>597</v>
      </c>
      <c r="I600" s="37"/>
    </row>
    <row r="601" spans="1:9">
      <c r="A601" s="37" t="s">
        <v>2097</v>
      </c>
      <c r="B601" s="37" t="s">
        <v>2098</v>
      </c>
      <c r="C601" s="74">
        <f t="shared" ref="C601:E601" si="576">C583</f>
        <v>0</v>
      </c>
      <c r="D601" s="74">
        <f t="shared" si="576"/>
        <v>0</v>
      </c>
      <c r="E601" s="74">
        <f t="shared" si="576"/>
        <v>65535</v>
      </c>
      <c r="F601" s="67" t="s">
        <v>230</v>
      </c>
      <c r="G601" s="67" t="s">
        <v>1052</v>
      </c>
      <c r="H601" s="37">
        <f t="shared" si="532"/>
        <v>598</v>
      </c>
      <c r="I601" s="37"/>
    </row>
    <row r="602" spans="1:9">
      <c r="A602" s="37" t="s">
        <v>2099</v>
      </c>
      <c r="B602" s="37" t="s">
        <v>2100</v>
      </c>
      <c r="C602" s="74">
        <f t="shared" ref="C602:E602" si="577">C584</f>
        <v>1</v>
      </c>
      <c r="D602" s="74">
        <f t="shared" si="577"/>
        <v>0</v>
      </c>
      <c r="E602" s="74">
        <f t="shared" si="577"/>
        <v>1</v>
      </c>
      <c r="F602" s="67" t="s">
        <v>230</v>
      </c>
      <c r="G602" s="67" t="s">
        <v>1052</v>
      </c>
      <c r="H602" s="37">
        <f t="shared" si="532"/>
        <v>599</v>
      </c>
      <c r="I602" s="37"/>
    </row>
    <row r="603" spans="1:9">
      <c r="A603" s="37" t="s">
        <v>2101</v>
      </c>
      <c r="B603" s="37" t="s">
        <v>2102</v>
      </c>
      <c r="C603" s="74">
        <f t="shared" ref="C603:E603" si="578">C585</f>
        <v>0</v>
      </c>
      <c r="D603" s="74">
        <f t="shared" si="578"/>
        <v>0</v>
      </c>
      <c r="E603" s="74">
        <f t="shared" si="578"/>
        <v>65535</v>
      </c>
      <c r="F603" s="67" t="s">
        <v>230</v>
      </c>
      <c r="G603" s="67" t="s">
        <v>1052</v>
      </c>
      <c r="H603" s="37">
        <f t="shared" si="532"/>
        <v>600</v>
      </c>
      <c r="I603" s="37"/>
    </row>
    <row r="604" spans="1:9">
      <c r="A604" s="37" t="s">
        <v>2103</v>
      </c>
      <c r="B604" s="37" t="s">
        <v>2104</v>
      </c>
      <c r="C604" s="74">
        <f t="shared" ref="C604:E604" si="579">C586</f>
        <v>0</v>
      </c>
      <c r="D604" s="74">
        <f t="shared" si="579"/>
        <v>0</v>
      </c>
      <c r="E604" s="74">
        <f t="shared" si="579"/>
        <v>1</v>
      </c>
      <c r="F604" s="67" t="s">
        <v>230</v>
      </c>
      <c r="G604" s="67" t="s">
        <v>1052</v>
      </c>
      <c r="H604" s="37">
        <f t="shared" si="532"/>
        <v>601</v>
      </c>
      <c r="I604" s="37"/>
    </row>
    <row r="605" spans="1:9">
      <c r="A605" s="37" t="s">
        <v>2105</v>
      </c>
      <c r="B605" s="37" t="s">
        <v>2106</v>
      </c>
      <c r="C605" s="74">
        <f t="shared" ref="C605:E605" si="580">C587</f>
        <v>1</v>
      </c>
      <c r="D605" s="74">
        <f t="shared" si="580"/>
        <v>0</v>
      </c>
      <c r="E605" s="74">
        <f t="shared" si="580"/>
        <v>2</v>
      </c>
      <c r="F605" s="67" t="s">
        <v>230</v>
      </c>
      <c r="G605" s="67" t="s">
        <v>1052</v>
      </c>
      <c r="H605" s="37">
        <f t="shared" si="532"/>
        <v>602</v>
      </c>
      <c r="I605" s="37"/>
    </row>
    <row r="606" spans="1:9">
      <c r="A606" s="37" t="s">
        <v>2107</v>
      </c>
      <c r="B606" s="37" t="s">
        <v>2108</v>
      </c>
      <c r="C606" s="74">
        <f t="shared" ref="C606:E606" si="581">C588</f>
        <v>0</v>
      </c>
      <c r="D606" s="74">
        <f t="shared" si="581"/>
        <v>0</v>
      </c>
      <c r="E606" s="74">
        <f t="shared" si="581"/>
        <v>3</v>
      </c>
      <c r="F606" s="67" t="s">
        <v>230</v>
      </c>
      <c r="G606" s="67" t="s">
        <v>1052</v>
      </c>
      <c r="H606" s="37">
        <f t="shared" si="532"/>
        <v>603</v>
      </c>
      <c r="I606" s="37"/>
    </row>
    <row r="607" spans="1:9">
      <c r="A607" s="37" t="s">
        <v>2109</v>
      </c>
      <c r="B607" s="37" t="s">
        <v>2110</v>
      </c>
      <c r="C607" s="74">
        <f t="shared" ref="C607:E607" si="582">C589</f>
        <v>0</v>
      </c>
      <c r="D607" s="74">
        <f t="shared" si="582"/>
        <v>0</v>
      </c>
      <c r="E607" s="74">
        <f t="shared" si="582"/>
        <v>3</v>
      </c>
      <c r="F607" s="67" t="s">
        <v>230</v>
      </c>
      <c r="G607" s="67" t="s">
        <v>1052</v>
      </c>
      <c r="H607" s="37">
        <f t="shared" si="532"/>
        <v>604</v>
      </c>
      <c r="I607" s="37"/>
    </row>
    <row r="608" spans="1:9">
      <c r="A608" s="37" t="s">
        <v>2111</v>
      </c>
      <c r="B608" s="37" t="s">
        <v>2112</v>
      </c>
      <c r="C608" s="74">
        <f t="shared" ref="C608:E608" si="583">C590</f>
        <v>0</v>
      </c>
      <c r="D608" s="74">
        <f t="shared" si="583"/>
        <v>0</v>
      </c>
      <c r="E608" s="74">
        <f t="shared" si="583"/>
        <v>3</v>
      </c>
      <c r="F608" s="67" t="s">
        <v>230</v>
      </c>
      <c r="G608" s="67" t="s">
        <v>1052</v>
      </c>
      <c r="H608" s="37">
        <f t="shared" si="532"/>
        <v>605</v>
      </c>
      <c r="I608" s="37"/>
    </row>
    <row r="609" spans="1:9">
      <c r="A609" s="37" t="s">
        <v>2113</v>
      </c>
      <c r="B609" s="37" t="s">
        <v>2686</v>
      </c>
      <c r="C609" s="74">
        <f t="shared" ref="C609:E609" si="584">C591</f>
        <v>0</v>
      </c>
      <c r="D609" s="74">
        <f t="shared" si="584"/>
        <v>0</v>
      </c>
      <c r="E609" s="74">
        <f t="shared" si="584"/>
        <v>1</v>
      </c>
      <c r="F609" s="67" t="s">
        <v>230</v>
      </c>
      <c r="G609" s="67" t="s">
        <v>1052</v>
      </c>
      <c r="H609" s="37">
        <f t="shared" si="532"/>
        <v>606</v>
      </c>
      <c r="I609" s="37"/>
    </row>
    <row r="610" spans="1:9">
      <c r="A610" s="37" t="s">
        <v>2114</v>
      </c>
      <c r="B610" s="37" t="s">
        <v>2115</v>
      </c>
      <c r="C610" s="74">
        <f t="shared" ref="C610:E610" si="585">C592</f>
        <v>0</v>
      </c>
      <c r="D610" s="74">
        <f t="shared" si="585"/>
        <v>0</v>
      </c>
      <c r="E610" s="74">
        <f t="shared" si="585"/>
        <v>1</v>
      </c>
      <c r="F610" s="67" t="s">
        <v>230</v>
      </c>
      <c r="G610" s="67" t="s">
        <v>1052</v>
      </c>
      <c r="H610" s="37">
        <f t="shared" si="532"/>
        <v>607</v>
      </c>
      <c r="I610" s="37"/>
    </row>
    <row r="611" spans="1:9">
      <c r="A611" s="37" t="s">
        <v>2116</v>
      </c>
      <c r="B611" s="37" t="s">
        <v>2117</v>
      </c>
      <c r="C611" s="74">
        <f t="shared" ref="C611:E611" si="586">C593</f>
        <v>0</v>
      </c>
      <c r="D611" s="74">
        <f t="shared" si="586"/>
        <v>0</v>
      </c>
      <c r="E611" s="74">
        <f t="shared" si="586"/>
        <v>4</v>
      </c>
      <c r="F611" s="67" t="s">
        <v>230</v>
      </c>
      <c r="G611" s="67" t="s">
        <v>1052</v>
      </c>
      <c r="H611" s="37">
        <f t="shared" si="532"/>
        <v>608</v>
      </c>
      <c r="I611" s="37"/>
    </row>
    <row r="612" spans="1:9">
      <c r="A612" s="37" t="s">
        <v>2118</v>
      </c>
      <c r="B612" s="37" t="s">
        <v>2119</v>
      </c>
      <c r="C612" s="74" t="str">
        <f t="shared" ref="C612:E612" si="587">C594</f>
        <v>(空文字)</v>
      </c>
      <c r="D612" s="74" t="str">
        <f t="shared" si="587"/>
        <v>(空文字)</v>
      </c>
      <c r="E612" s="74" t="str">
        <f t="shared" si="587"/>
        <v>(空文字)</v>
      </c>
      <c r="F612" s="67" t="s">
        <v>230</v>
      </c>
      <c r="G612" s="67" t="s">
        <v>1052</v>
      </c>
      <c r="H612" s="37">
        <f t="shared" si="532"/>
        <v>609</v>
      </c>
      <c r="I612" s="37"/>
    </row>
    <row r="613" spans="1:9">
      <c r="A613" s="37" t="s">
        <v>2120</v>
      </c>
      <c r="B613" s="37" t="s">
        <v>2121</v>
      </c>
      <c r="C613" s="74" t="str">
        <f t="shared" ref="C613:E613" si="588">C595</f>
        <v>(空文字)</v>
      </c>
      <c r="D613" s="74" t="str">
        <f t="shared" si="588"/>
        <v>(空文字)</v>
      </c>
      <c r="E613" s="74" t="str">
        <f t="shared" si="588"/>
        <v>(空文字)</v>
      </c>
      <c r="F613" s="67" t="s">
        <v>230</v>
      </c>
      <c r="G613" s="67" t="s">
        <v>1052</v>
      </c>
      <c r="H613" s="37">
        <f t="shared" si="532"/>
        <v>610</v>
      </c>
      <c r="I613" s="37"/>
    </row>
    <row r="614" spans="1:9">
      <c r="A614" s="37" t="s">
        <v>2122</v>
      </c>
      <c r="B614" s="37" t="s">
        <v>2123</v>
      </c>
      <c r="C614" s="74">
        <f t="shared" ref="C614:E614" si="589">C596</f>
        <v>0</v>
      </c>
      <c r="D614" s="74">
        <f t="shared" si="589"/>
        <v>0</v>
      </c>
      <c r="E614" s="74">
        <f t="shared" si="589"/>
        <v>3</v>
      </c>
      <c r="F614" s="67" t="s">
        <v>230</v>
      </c>
      <c r="G614" s="67" t="s">
        <v>1052</v>
      </c>
      <c r="H614" s="37">
        <f t="shared" si="532"/>
        <v>611</v>
      </c>
      <c r="I614" s="37"/>
    </row>
    <row r="615" spans="1:9">
      <c r="A615" s="37" t="s">
        <v>3948</v>
      </c>
      <c r="B615" s="37" t="s">
        <v>4032</v>
      </c>
      <c r="C615" s="74">
        <f t="shared" ref="C615:E615" si="590">C597</f>
        <v>10000</v>
      </c>
      <c r="D615" s="74">
        <f t="shared" si="590"/>
        <v>1000</v>
      </c>
      <c r="E615" s="74">
        <f t="shared" si="590"/>
        <v>99999000</v>
      </c>
      <c r="F615" s="67" t="s">
        <v>230</v>
      </c>
      <c r="G615" s="67" t="s">
        <v>1052</v>
      </c>
      <c r="H615" s="37">
        <f t="shared" si="532"/>
        <v>612</v>
      </c>
      <c r="I615" s="37"/>
    </row>
    <row r="616" spans="1:9">
      <c r="A616" s="37" t="s">
        <v>4102</v>
      </c>
      <c r="B616" s="37" t="s">
        <v>4033</v>
      </c>
      <c r="C616" s="74">
        <f t="shared" ref="C616:E616" si="591">C598</f>
        <v>0</v>
      </c>
      <c r="D616" s="74">
        <f t="shared" si="591"/>
        <v>0</v>
      </c>
      <c r="E616" s="74">
        <f t="shared" si="591"/>
        <v>1</v>
      </c>
      <c r="F616" s="67" t="s">
        <v>230</v>
      </c>
      <c r="G616" s="67" t="s">
        <v>1052</v>
      </c>
      <c r="H616" s="37">
        <f t="shared" si="532"/>
        <v>613</v>
      </c>
      <c r="I616" s="37"/>
    </row>
    <row r="617" spans="1:9">
      <c r="A617" s="37" t="s">
        <v>2124</v>
      </c>
      <c r="B617" s="37" t="s">
        <v>2125</v>
      </c>
      <c r="C617" s="92">
        <f t="shared" si="537"/>
        <v>218</v>
      </c>
      <c r="D617" s="74">
        <f t="shared" ref="D617:E617" si="592">D599</f>
        <v>1</v>
      </c>
      <c r="E617" s="74">
        <f t="shared" si="592"/>
        <v>4096</v>
      </c>
      <c r="F617" s="67" t="s">
        <v>230</v>
      </c>
      <c r="G617" s="67" t="s">
        <v>230</v>
      </c>
      <c r="H617" s="37">
        <f t="shared" si="532"/>
        <v>614</v>
      </c>
      <c r="I617" s="37"/>
    </row>
    <row r="618" spans="1:9">
      <c r="A618" s="37" t="s">
        <v>2126</v>
      </c>
      <c r="B618" s="37" t="s">
        <v>2127</v>
      </c>
      <c r="C618" s="74" t="str">
        <f t="shared" ref="C618:E618" si="593">C600</f>
        <v>0x00000000</v>
      </c>
      <c r="D618" s="74" t="str">
        <f t="shared" si="593"/>
        <v>0x80000000</v>
      </c>
      <c r="E618" s="74" t="str">
        <f t="shared" si="593"/>
        <v>0x7fffffff</v>
      </c>
      <c r="F618" s="67" t="s">
        <v>230</v>
      </c>
      <c r="G618" s="67" t="s">
        <v>1052</v>
      </c>
      <c r="H618" s="37">
        <f t="shared" si="532"/>
        <v>615</v>
      </c>
      <c r="I618" s="37"/>
    </row>
    <row r="619" spans="1:9">
      <c r="A619" s="37" t="s">
        <v>2128</v>
      </c>
      <c r="B619" s="37" t="s">
        <v>2129</v>
      </c>
      <c r="C619" s="74">
        <f t="shared" ref="C619:E619" si="594">C601</f>
        <v>0</v>
      </c>
      <c r="D619" s="74">
        <f t="shared" si="594"/>
        <v>0</v>
      </c>
      <c r="E619" s="74">
        <f t="shared" si="594"/>
        <v>65535</v>
      </c>
      <c r="F619" s="67" t="s">
        <v>230</v>
      </c>
      <c r="G619" s="67" t="s">
        <v>1052</v>
      </c>
      <c r="H619" s="37">
        <f t="shared" si="532"/>
        <v>616</v>
      </c>
      <c r="I619" s="37"/>
    </row>
    <row r="620" spans="1:9">
      <c r="A620" s="37" t="s">
        <v>2130</v>
      </c>
      <c r="B620" s="37" t="s">
        <v>2131</v>
      </c>
      <c r="C620" s="74">
        <f t="shared" ref="C620:E620" si="595">C602</f>
        <v>1</v>
      </c>
      <c r="D620" s="74">
        <f t="shared" si="595"/>
        <v>0</v>
      </c>
      <c r="E620" s="74">
        <f t="shared" si="595"/>
        <v>1</v>
      </c>
      <c r="F620" s="67" t="s">
        <v>230</v>
      </c>
      <c r="G620" s="67" t="s">
        <v>1052</v>
      </c>
      <c r="H620" s="37">
        <f t="shared" si="532"/>
        <v>617</v>
      </c>
      <c r="I620" s="37"/>
    </row>
    <row r="621" spans="1:9">
      <c r="A621" s="37" t="s">
        <v>2132</v>
      </c>
      <c r="B621" s="37" t="s">
        <v>2133</v>
      </c>
      <c r="C621" s="74">
        <f t="shared" ref="C621:E621" si="596">C603</f>
        <v>0</v>
      </c>
      <c r="D621" s="74">
        <f t="shared" si="596"/>
        <v>0</v>
      </c>
      <c r="E621" s="74">
        <f t="shared" si="596"/>
        <v>65535</v>
      </c>
      <c r="F621" s="67" t="s">
        <v>230</v>
      </c>
      <c r="G621" s="67" t="s">
        <v>1052</v>
      </c>
      <c r="H621" s="37">
        <f t="shared" si="532"/>
        <v>618</v>
      </c>
      <c r="I621" s="37"/>
    </row>
    <row r="622" spans="1:9">
      <c r="A622" s="37" t="s">
        <v>2134</v>
      </c>
      <c r="B622" s="37" t="s">
        <v>2135</v>
      </c>
      <c r="C622" s="74">
        <f t="shared" ref="C622:E622" si="597">C604</f>
        <v>0</v>
      </c>
      <c r="D622" s="74">
        <f t="shared" si="597"/>
        <v>0</v>
      </c>
      <c r="E622" s="74">
        <f t="shared" si="597"/>
        <v>1</v>
      </c>
      <c r="F622" s="67" t="s">
        <v>230</v>
      </c>
      <c r="G622" s="67" t="s">
        <v>1052</v>
      </c>
      <c r="H622" s="37">
        <f t="shared" ref="H622:H685" si="598">ROW()-3</f>
        <v>619</v>
      </c>
      <c r="I622" s="37"/>
    </row>
    <row r="623" spans="1:9">
      <c r="A623" s="37" t="s">
        <v>2136</v>
      </c>
      <c r="B623" s="37" t="s">
        <v>2137</v>
      </c>
      <c r="C623" s="74">
        <f t="shared" ref="C623:E623" si="599">C605</f>
        <v>1</v>
      </c>
      <c r="D623" s="74">
        <f t="shared" si="599"/>
        <v>0</v>
      </c>
      <c r="E623" s="74">
        <f t="shared" si="599"/>
        <v>2</v>
      </c>
      <c r="F623" s="67" t="s">
        <v>230</v>
      </c>
      <c r="G623" s="67" t="s">
        <v>1052</v>
      </c>
      <c r="H623" s="37">
        <f t="shared" si="598"/>
        <v>620</v>
      </c>
      <c r="I623" s="37"/>
    </row>
    <row r="624" spans="1:9">
      <c r="A624" s="37" t="s">
        <v>2138</v>
      </c>
      <c r="B624" s="37" t="s">
        <v>2139</v>
      </c>
      <c r="C624" s="74">
        <f t="shared" ref="C624:E624" si="600">C606</f>
        <v>0</v>
      </c>
      <c r="D624" s="74">
        <f t="shared" si="600"/>
        <v>0</v>
      </c>
      <c r="E624" s="74">
        <f t="shared" si="600"/>
        <v>3</v>
      </c>
      <c r="F624" s="67" t="s">
        <v>230</v>
      </c>
      <c r="G624" s="67" t="s">
        <v>1052</v>
      </c>
      <c r="H624" s="37">
        <f t="shared" si="598"/>
        <v>621</v>
      </c>
      <c r="I624" s="37"/>
    </row>
    <row r="625" spans="1:9">
      <c r="A625" s="37" t="s">
        <v>2140</v>
      </c>
      <c r="B625" s="37" t="s">
        <v>2141</v>
      </c>
      <c r="C625" s="74">
        <f t="shared" ref="C625:E625" si="601">C607</f>
        <v>0</v>
      </c>
      <c r="D625" s="74">
        <f t="shared" si="601"/>
        <v>0</v>
      </c>
      <c r="E625" s="74">
        <f t="shared" si="601"/>
        <v>3</v>
      </c>
      <c r="F625" s="67" t="s">
        <v>230</v>
      </c>
      <c r="G625" s="67" t="s">
        <v>1052</v>
      </c>
      <c r="H625" s="37">
        <f t="shared" si="598"/>
        <v>622</v>
      </c>
      <c r="I625" s="37"/>
    </row>
    <row r="626" spans="1:9">
      <c r="A626" s="37" t="s">
        <v>2142</v>
      </c>
      <c r="B626" s="37" t="s">
        <v>2143</v>
      </c>
      <c r="C626" s="74">
        <f t="shared" ref="C626:E626" si="602">C608</f>
        <v>0</v>
      </c>
      <c r="D626" s="74">
        <f t="shared" si="602"/>
        <v>0</v>
      </c>
      <c r="E626" s="74">
        <f t="shared" si="602"/>
        <v>3</v>
      </c>
      <c r="F626" s="67" t="s">
        <v>230</v>
      </c>
      <c r="G626" s="67" t="s">
        <v>1052</v>
      </c>
      <c r="H626" s="37">
        <f t="shared" si="598"/>
        <v>623</v>
      </c>
      <c r="I626" s="37"/>
    </row>
    <row r="627" spans="1:9">
      <c r="A627" s="37" t="s">
        <v>2144</v>
      </c>
      <c r="B627" s="37" t="s">
        <v>2687</v>
      </c>
      <c r="C627" s="74">
        <f t="shared" ref="C627:E627" si="603">C609</f>
        <v>0</v>
      </c>
      <c r="D627" s="74">
        <f t="shared" si="603"/>
        <v>0</v>
      </c>
      <c r="E627" s="74">
        <f t="shared" si="603"/>
        <v>1</v>
      </c>
      <c r="F627" s="67" t="s">
        <v>230</v>
      </c>
      <c r="G627" s="67" t="s">
        <v>1052</v>
      </c>
      <c r="H627" s="37">
        <f t="shared" si="598"/>
        <v>624</v>
      </c>
      <c r="I627" s="37"/>
    </row>
    <row r="628" spans="1:9">
      <c r="A628" s="37" t="s">
        <v>2145</v>
      </c>
      <c r="B628" s="37" t="s">
        <v>2146</v>
      </c>
      <c r="C628" s="74">
        <f t="shared" ref="C628:E628" si="604">C610</f>
        <v>0</v>
      </c>
      <c r="D628" s="74">
        <f t="shared" si="604"/>
        <v>0</v>
      </c>
      <c r="E628" s="74">
        <f t="shared" si="604"/>
        <v>1</v>
      </c>
      <c r="F628" s="67" t="s">
        <v>230</v>
      </c>
      <c r="G628" s="67" t="s">
        <v>1052</v>
      </c>
      <c r="H628" s="37">
        <f t="shared" si="598"/>
        <v>625</v>
      </c>
      <c r="I628" s="37"/>
    </row>
    <row r="629" spans="1:9">
      <c r="A629" s="37" t="s">
        <v>2147</v>
      </c>
      <c r="B629" s="37" t="s">
        <v>2148</v>
      </c>
      <c r="C629" s="74">
        <f t="shared" ref="C629:E629" si="605">C611</f>
        <v>0</v>
      </c>
      <c r="D629" s="74">
        <f t="shared" si="605"/>
        <v>0</v>
      </c>
      <c r="E629" s="74">
        <f t="shared" si="605"/>
        <v>4</v>
      </c>
      <c r="F629" s="67" t="s">
        <v>230</v>
      </c>
      <c r="G629" s="67" t="s">
        <v>1052</v>
      </c>
      <c r="H629" s="37">
        <f t="shared" si="598"/>
        <v>626</v>
      </c>
      <c r="I629" s="37"/>
    </row>
    <row r="630" spans="1:9">
      <c r="A630" s="37" t="s">
        <v>2149</v>
      </c>
      <c r="B630" s="37" t="s">
        <v>2150</v>
      </c>
      <c r="C630" s="74" t="str">
        <f t="shared" ref="C630:E630" si="606">C612</f>
        <v>(空文字)</v>
      </c>
      <c r="D630" s="74" t="str">
        <f t="shared" si="606"/>
        <v>(空文字)</v>
      </c>
      <c r="E630" s="74" t="str">
        <f t="shared" si="606"/>
        <v>(空文字)</v>
      </c>
      <c r="F630" s="67" t="s">
        <v>230</v>
      </c>
      <c r="G630" s="67" t="s">
        <v>1052</v>
      </c>
      <c r="H630" s="37">
        <f t="shared" si="598"/>
        <v>627</v>
      </c>
      <c r="I630" s="37"/>
    </row>
    <row r="631" spans="1:9">
      <c r="A631" s="37" t="s">
        <v>2151</v>
      </c>
      <c r="B631" s="37" t="s">
        <v>2152</v>
      </c>
      <c r="C631" s="74" t="str">
        <f t="shared" ref="C631:E631" si="607">C613</f>
        <v>(空文字)</v>
      </c>
      <c r="D631" s="74" t="str">
        <f t="shared" si="607"/>
        <v>(空文字)</v>
      </c>
      <c r="E631" s="74" t="str">
        <f t="shared" si="607"/>
        <v>(空文字)</v>
      </c>
      <c r="F631" s="67" t="s">
        <v>230</v>
      </c>
      <c r="G631" s="67" t="s">
        <v>1052</v>
      </c>
      <c r="H631" s="37">
        <f t="shared" si="598"/>
        <v>628</v>
      </c>
      <c r="I631" s="37"/>
    </row>
    <row r="632" spans="1:9">
      <c r="A632" s="37" t="s">
        <v>2153</v>
      </c>
      <c r="B632" s="37" t="s">
        <v>2154</v>
      </c>
      <c r="C632" s="74">
        <f t="shared" ref="C632:E632" si="608">C614</f>
        <v>0</v>
      </c>
      <c r="D632" s="74">
        <f t="shared" si="608"/>
        <v>0</v>
      </c>
      <c r="E632" s="74">
        <f t="shared" si="608"/>
        <v>3</v>
      </c>
      <c r="F632" s="67" t="s">
        <v>230</v>
      </c>
      <c r="G632" s="67" t="s">
        <v>1052</v>
      </c>
      <c r="H632" s="37">
        <f t="shared" si="598"/>
        <v>629</v>
      </c>
      <c r="I632" s="37"/>
    </row>
    <row r="633" spans="1:9">
      <c r="A633" s="37" t="s">
        <v>3949</v>
      </c>
      <c r="B633" s="37" t="s">
        <v>4034</v>
      </c>
      <c r="C633" s="74">
        <f t="shared" ref="C633:E633" si="609">C615</f>
        <v>10000</v>
      </c>
      <c r="D633" s="74">
        <f t="shared" si="609"/>
        <v>1000</v>
      </c>
      <c r="E633" s="74">
        <f t="shared" si="609"/>
        <v>99999000</v>
      </c>
      <c r="F633" s="67" t="s">
        <v>230</v>
      </c>
      <c r="G633" s="67" t="s">
        <v>1052</v>
      </c>
      <c r="H633" s="37">
        <f t="shared" si="598"/>
        <v>630</v>
      </c>
      <c r="I633" s="37"/>
    </row>
    <row r="634" spans="1:9">
      <c r="A634" s="37" t="s">
        <v>4103</v>
      </c>
      <c r="B634" s="37" t="s">
        <v>4035</v>
      </c>
      <c r="C634" s="74">
        <f t="shared" ref="C634:E634" si="610">C616</f>
        <v>0</v>
      </c>
      <c r="D634" s="74">
        <f t="shared" si="610"/>
        <v>0</v>
      </c>
      <c r="E634" s="74">
        <f t="shared" si="610"/>
        <v>1</v>
      </c>
      <c r="F634" s="67" t="s">
        <v>230</v>
      </c>
      <c r="G634" s="67" t="s">
        <v>1052</v>
      </c>
      <c r="H634" s="37">
        <f t="shared" si="598"/>
        <v>631</v>
      </c>
      <c r="I634" s="37"/>
    </row>
    <row r="635" spans="1:9">
      <c r="A635" s="37" t="s">
        <v>2155</v>
      </c>
      <c r="B635" s="37" t="s">
        <v>2156</v>
      </c>
      <c r="C635" s="92">
        <f t="shared" ref="C635:C689" si="611">C617+1</f>
        <v>219</v>
      </c>
      <c r="D635" s="74">
        <f t="shared" ref="D635:E635" si="612">D617</f>
        <v>1</v>
      </c>
      <c r="E635" s="74">
        <f t="shared" si="612"/>
        <v>4096</v>
      </c>
      <c r="F635" s="67" t="s">
        <v>230</v>
      </c>
      <c r="G635" s="67" t="s">
        <v>230</v>
      </c>
      <c r="H635" s="37">
        <f t="shared" si="598"/>
        <v>632</v>
      </c>
      <c r="I635" s="37"/>
    </row>
    <row r="636" spans="1:9">
      <c r="A636" s="37" t="s">
        <v>2157</v>
      </c>
      <c r="B636" s="37" t="s">
        <v>2158</v>
      </c>
      <c r="C636" s="74" t="str">
        <f t="shared" ref="C636:E636" si="613">C618</f>
        <v>0x00000000</v>
      </c>
      <c r="D636" s="74" t="str">
        <f t="shared" si="613"/>
        <v>0x80000000</v>
      </c>
      <c r="E636" s="74" t="str">
        <f t="shared" si="613"/>
        <v>0x7fffffff</v>
      </c>
      <c r="F636" s="67" t="s">
        <v>230</v>
      </c>
      <c r="G636" s="67" t="s">
        <v>1052</v>
      </c>
      <c r="H636" s="37">
        <f t="shared" si="598"/>
        <v>633</v>
      </c>
      <c r="I636" s="37"/>
    </row>
    <row r="637" spans="1:9">
      <c r="A637" s="37" t="s">
        <v>2159</v>
      </c>
      <c r="B637" s="37" t="s">
        <v>2160</v>
      </c>
      <c r="C637" s="74">
        <f t="shared" ref="C637:E637" si="614">C619</f>
        <v>0</v>
      </c>
      <c r="D637" s="74">
        <f t="shared" si="614"/>
        <v>0</v>
      </c>
      <c r="E637" s="74">
        <f t="shared" si="614"/>
        <v>65535</v>
      </c>
      <c r="F637" s="67" t="s">
        <v>230</v>
      </c>
      <c r="G637" s="67" t="s">
        <v>1052</v>
      </c>
      <c r="H637" s="37">
        <f t="shared" si="598"/>
        <v>634</v>
      </c>
      <c r="I637" s="37"/>
    </row>
    <row r="638" spans="1:9">
      <c r="A638" s="37" t="s">
        <v>2161</v>
      </c>
      <c r="B638" s="37" t="s">
        <v>2162</v>
      </c>
      <c r="C638" s="74">
        <f t="shared" ref="C638:E638" si="615">C620</f>
        <v>1</v>
      </c>
      <c r="D638" s="74">
        <f t="shared" si="615"/>
        <v>0</v>
      </c>
      <c r="E638" s="74">
        <f t="shared" si="615"/>
        <v>1</v>
      </c>
      <c r="F638" s="67" t="s">
        <v>230</v>
      </c>
      <c r="G638" s="67" t="s">
        <v>1052</v>
      </c>
      <c r="H638" s="37">
        <f t="shared" si="598"/>
        <v>635</v>
      </c>
      <c r="I638" s="37"/>
    </row>
    <row r="639" spans="1:9">
      <c r="A639" s="37" t="s">
        <v>2163</v>
      </c>
      <c r="B639" s="37" t="s">
        <v>2164</v>
      </c>
      <c r="C639" s="74">
        <f t="shared" ref="C639:E639" si="616">C621</f>
        <v>0</v>
      </c>
      <c r="D639" s="74">
        <f t="shared" si="616"/>
        <v>0</v>
      </c>
      <c r="E639" s="74">
        <f t="shared" si="616"/>
        <v>65535</v>
      </c>
      <c r="F639" s="67" t="s">
        <v>230</v>
      </c>
      <c r="G639" s="67" t="s">
        <v>1052</v>
      </c>
      <c r="H639" s="37">
        <f t="shared" si="598"/>
        <v>636</v>
      </c>
      <c r="I639" s="37"/>
    </row>
    <row r="640" spans="1:9">
      <c r="A640" s="37" t="s">
        <v>2165</v>
      </c>
      <c r="B640" s="37" t="s">
        <v>2166</v>
      </c>
      <c r="C640" s="74">
        <f t="shared" ref="C640:E640" si="617">C622</f>
        <v>0</v>
      </c>
      <c r="D640" s="74">
        <f t="shared" si="617"/>
        <v>0</v>
      </c>
      <c r="E640" s="74">
        <f t="shared" si="617"/>
        <v>1</v>
      </c>
      <c r="F640" s="67" t="s">
        <v>230</v>
      </c>
      <c r="G640" s="67" t="s">
        <v>1052</v>
      </c>
      <c r="H640" s="37">
        <f t="shared" si="598"/>
        <v>637</v>
      </c>
      <c r="I640" s="37"/>
    </row>
    <row r="641" spans="1:9">
      <c r="A641" s="37" t="s">
        <v>2167</v>
      </c>
      <c r="B641" s="37" t="s">
        <v>2168</v>
      </c>
      <c r="C641" s="74">
        <f t="shared" ref="C641:E641" si="618">C623</f>
        <v>1</v>
      </c>
      <c r="D641" s="74">
        <f t="shared" si="618"/>
        <v>0</v>
      </c>
      <c r="E641" s="74">
        <f t="shared" si="618"/>
        <v>2</v>
      </c>
      <c r="F641" s="67" t="s">
        <v>230</v>
      </c>
      <c r="G641" s="67" t="s">
        <v>1052</v>
      </c>
      <c r="H641" s="37">
        <f t="shared" si="598"/>
        <v>638</v>
      </c>
      <c r="I641" s="37"/>
    </row>
    <row r="642" spans="1:9">
      <c r="A642" s="37" t="s">
        <v>2169</v>
      </c>
      <c r="B642" s="37" t="s">
        <v>2170</v>
      </c>
      <c r="C642" s="74">
        <f t="shared" ref="C642:E642" si="619">C624</f>
        <v>0</v>
      </c>
      <c r="D642" s="74">
        <f t="shared" si="619"/>
        <v>0</v>
      </c>
      <c r="E642" s="74">
        <f t="shared" si="619"/>
        <v>3</v>
      </c>
      <c r="F642" s="67" t="s">
        <v>230</v>
      </c>
      <c r="G642" s="67" t="s">
        <v>1052</v>
      </c>
      <c r="H642" s="37">
        <f t="shared" si="598"/>
        <v>639</v>
      </c>
      <c r="I642" s="37"/>
    </row>
    <row r="643" spans="1:9">
      <c r="A643" s="37" t="s">
        <v>2171</v>
      </c>
      <c r="B643" s="37" t="s">
        <v>2172</v>
      </c>
      <c r="C643" s="74">
        <f t="shared" ref="C643:E643" si="620">C625</f>
        <v>0</v>
      </c>
      <c r="D643" s="74">
        <f t="shared" si="620"/>
        <v>0</v>
      </c>
      <c r="E643" s="74">
        <f t="shared" si="620"/>
        <v>3</v>
      </c>
      <c r="F643" s="67" t="s">
        <v>230</v>
      </c>
      <c r="G643" s="67" t="s">
        <v>1052</v>
      </c>
      <c r="H643" s="37">
        <f t="shared" si="598"/>
        <v>640</v>
      </c>
      <c r="I643" s="37"/>
    </row>
    <row r="644" spans="1:9">
      <c r="A644" s="37" t="s">
        <v>2173</v>
      </c>
      <c r="B644" s="37" t="s">
        <v>2174</v>
      </c>
      <c r="C644" s="74">
        <f t="shared" ref="C644:E644" si="621">C626</f>
        <v>0</v>
      </c>
      <c r="D644" s="74">
        <f t="shared" si="621"/>
        <v>0</v>
      </c>
      <c r="E644" s="74">
        <f t="shared" si="621"/>
        <v>3</v>
      </c>
      <c r="F644" s="67" t="s">
        <v>230</v>
      </c>
      <c r="G644" s="67" t="s">
        <v>1052</v>
      </c>
      <c r="H644" s="37">
        <f t="shared" si="598"/>
        <v>641</v>
      </c>
      <c r="I644" s="37"/>
    </row>
    <row r="645" spans="1:9">
      <c r="A645" s="37" t="s">
        <v>2175</v>
      </c>
      <c r="B645" s="37" t="s">
        <v>2688</v>
      </c>
      <c r="C645" s="74">
        <f t="shared" ref="C645:E645" si="622">C627</f>
        <v>0</v>
      </c>
      <c r="D645" s="74">
        <f t="shared" si="622"/>
        <v>0</v>
      </c>
      <c r="E645" s="74">
        <f t="shared" si="622"/>
        <v>1</v>
      </c>
      <c r="F645" s="67" t="s">
        <v>230</v>
      </c>
      <c r="G645" s="67" t="s">
        <v>1052</v>
      </c>
      <c r="H645" s="37">
        <f t="shared" si="598"/>
        <v>642</v>
      </c>
      <c r="I645" s="37"/>
    </row>
    <row r="646" spans="1:9">
      <c r="A646" s="37" t="s">
        <v>2176</v>
      </c>
      <c r="B646" s="37" t="s">
        <v>2177</v>
      </c>
      <c r="C646" s="74">
        <f t="shared" ref="C646:E646" si="623">C628</f>
        <v>0</v>
      </c>
      <c r="D646" s="74">
        <f t="shared" si="623"/>
        <v>0</v>
      </c>
      <c r="E646" s="74">
        <f t="shared" si="623"/>
        <v>1</v>
      </c>
      <c r="F646" s="67" t="s">
        <v>230</v>
      </c>
      <c r="G646" s="67" t="s">
        <v>1052</v>
      </c>
      <c r="H646" s="37">
        <f t="shared" si="598"/>
        <v>643</v>
      </c>
      <c r="I646" s="37"/>
    </row>
    <row r="647" spans="1:9">
      <c r="A647" s="37" t="s">
        <v>2178</v>
      </c>
      <c r="B647" s="37" t="s">
        <v>2179</v>
      </c>
      <c r="C647" s="74">
        <f t="shared" ref="C647:E647" si="624">C629</f>
        <v>0</v>
      </c>
      <c r="D647" s="74">
        <f t="shared" si="624"/>
        <v>0</v>
      </c>
      <c r="E647" s="74">
        <f t="shared" si="624"/>
        <v>4</v>
      </c>
      <c r="F647" s="67" t="s">
        <v>230</v>
      </c>
      <c r="G647" s="67" t="s">
        <v>1052</v>
      </c>
      <c r="H647" s="37">
        <f t="shared" si="598"/>
        <v>644</v>
      </c>
      <c r="I647" s="37"/>
    </row>
    <row r="648" spans="1:9">
      <c r="A648" s="37" t="s">
        <v>2180</v>
      </c>
      <c r="B648" s="37" t="s">
        <v>2181</v>
      </c>
      <c r="C648" s="74" t="str">
        <f t="shared" ref="C648:E648" si="625">C630</f>
        <v>(空文字)</v>
      </c>
      <c r="D648" s="74" t="str">
        <f t="shared" si="625"/>
        <v>(空文字)</v>
      </c>
      <c r="E648" s="74" t="str">
        <f t="shared" si="625"/>
        <v>(空文字)</v>
      </c>
      <c r="F648" s="67" t="s">
        <v>230</v>
      </c>
      <c r="G648" s="67" t="s">
        <v>1052</v>
      </c>
      <c r="H648" s="37">
        <f t="shared" si="598"/>
        <v>645</v>
      </c>
      <c r="I648" s="37"/>
    </row>
    <row r="649" spans="1:9">
      <c r="A649" s="37" t="s">
        <v>2182</v>
      </c>
      <c r="B649" s="37" t="s">
        <v>2183</v>
      </c>
      <c r="C649" s="74" t="str">
        <f t="shared" ref="C649:E649" si="626">C631</f>
        <v>(空文字)</v>
      </c>
      <c r="D649" s="74" t="str">
        <f t="shared" si="626"/>
        <v>(空文字)</v>
      </c>
      <c r="E649" s="74" t="str">
        <f t="shared" si="626"/>
        <v>(空文字)</v>
      </c>
      <c r="F649" s="67" t="s">
        <v>230</v>
      </c>
      <c r="G649" s="67" t="s">
        <v>1052</v>
      </c>
      <c r="H649" s="37">
        <f t="shared" si="598"/>
        <v>646</v>
      </c>
      <c r="I649" s="37"/>
    </row>
    <row r="650" spans="1:9">
      <c r="A650" s="37" t="s">
        <v>2184</v>
      </c>
      <c r="B650" s="37" t="s">
        <v>2185</v>
      </c>
      <c r="C650" s="74">
        <f t="shared" ref="C650:E650" si="627">C632</f>
        <v>0</v>
      </c>
      <c r="D650" s="74">
        <f t="shared" si="627"/>
        <v>0</v>
      </c>
      <c r="E650" s="74">
        <f t="shared" si="627"/>
        <v>3</v>
      </c>
      <c r="F650" s="67" t="s">
        <v>230</v>
      </c>
      <c r="G650" s="67" t="s">
        <v>1052</v>
      </c>
      <c r="H650" s="37">
        <f t="shared" si="598"/>
        <v>647</v>
      </c>
      <c r="I650" s="37"/>
    </row>
    <row r="651" spans="1:9">
      <c r="A651" s="37" t="s">
        <v>3950</v>
      </c>
      <c r="B651" s="37" t="s">
        <v>4036</v>
      </c>
      <c r="C651" s="74">
        <f t="shared" ref="C651:E651" si="628">C633</f>
        <v>10000</v>
      </c>
      <c r="D651" s="74">
        <f t="shared" si="628"/>
        <v>1000</v>
      </c>
      <c r="E651" s="74">
        <f t="shared" si="628"/>
        <v>99999000</v>
      </c>
      <c r="F651" s="67" t="s">
        <v>230</v>
      </c>
      <c r="G651" s="67" t="s">
        <v>1052</v>
      </c>
      <c r="H651" s="37">
        <f t="shared" si="598"/>
        <v>648</v>
      </c>
      <c r="I651" s="37"/>
    </row>
    <row r="652" spans="1:9">
      <c r="A652" s="37" t="s">
        <v>4104</v>
      </c>
      <c r="B652" s="37" t="s">
        <v>4037</v>
      </c>
      <c r="C652" s="74">
        <f t="shared" ref="C652:E652" si="629">C634</f>
        <v>0</v>
      </c>
      <c r="D652" s="74">
        <f t="shared" si="629"/>
        <v>0</v>
      </c>
      <c r="E652" s="74">
        <f t="shared" si="629"/>
        <v>1</v>
      </c>
      <c r="F652" s="67" t="s">
        <v>230</v>
      </c>
      <c r="G652" s="67" t="s">
        <v>1052</v>
      </c>
      <c r="H652" s="37">
        <f t="shared" si="598"/>
        <v>649</v>
      </c>
      <c r="I652" s="37"/>
    </row>
    <row r="653" spans="1:9">
      <c r="A653" s="37" t="s">
        <v>2186</v>
      </c>
      <c r="B653" s="37" t="s">
        <v>2187</v>
      </c>
      <c r="C653" s="92">
        <f t="shared" si="611"/>
        <v>220</v>
      </c>
      <c r="D653" s="74">
        <f t="shared" ref="D653:E653" si="630">D635</f>
        <v>1</v>
      </c>
      <c r="E653" s="74">
        <f t="shared" si="630"/>
        <v>4096</v>
      </c>
      <c r="F653" s="67" t="s">
        <v>230</v>
      </c>
      <c r="G653" s="67" t="s">
        <v>230</v>
      </c>
      <c r="H653" s="37">
        <f t="shared" si="598"/>
        <v>650</v>
      </c>
      <c r="I653" s="37"/>
    </row>
    <row r="654" spans="1:9">
      <c r="A654" s="37" t="s">
        <v>2188</v>
      </c>
      <c r="B654" s="37" t="s">
        <v>2189</v>
      </c>
      <c r="C654" s="74" t="str">
        <f t="shared" ref="C654:E654" si="631">C636</f>
        <v>0x00000000</v>
      </c>
      <c r="D654" s="74" t="str">
        <f t="shared" si="631"/>
        <v>0x80000000</v>
      </c>
      <c r="E654" s="74" t="str">
        <f t="shared" si="631"/>
        <v>0x7fffffff</v>
      </c>
      <c r="F654" s="67" t="s">
        <v>230</v>
      </c>
      <c r="G654" s="67" t="s">
        <v>1052</v>
      </c>
      <c r="H654" s="37">
        <f t="shared" si="598"/>
        <v>651</v>
      </c>
      <c r="I654" s="37"/>
    </row>
    <row r="655" spans="1:9">
      <c r="A655" s="37" t="s">
        <v>2190</v>
      </c>
      <c r="B655" s="37" t="s">
        <v>2191</v>
      </c>
      <c r="C655" s="74">
        <f t="shared" ref="C655:E655" si="632">C637</f>
        <v>0</v>
      </c>
      <c r="D655" s="74">
        <f t="shared" si="632"/>
        <v>0</v>
      </c>
      <c r="E655" s="74">
        <f t="shared" si="632"/>
        <v>65535</v>
      </c>
      <c r="F655" s="67" t="s">
        <v>230</v>
      </c>
      <c r="G655" s="67" t="s">
        <v>1052</v>
      </c>
      <c r="H655" s="37">
        <f t="shared" si="598"/>
        <v>652</v>
      </c>
      <c r="I655" s="37"/>
    </row>
    <row r="656" spans="1:9">
      <c r="A656" s="37" t="s">
        <v>2192</v>
      </c>
      <c r="B656" s="37" t="s">
        <v>2193</v>
      </c>
      <c r="C656" s="74">
        <f t="shared" ref="C656:E656" si="633">C638</f>
        <v>1</v>
      </c>
      <c r="D656" s="74">
        <f t="shared" si="633"/>
        <v>0</v>
      </c>
      <c r="E656" s="74">
        <f t="shared" si="633"/>
        <v>1</v>
      </c>
      <c r="F656" s="67" t="s">
        <v>230</v>
      </c>
      <c r="G656" s="67" t="s">
        <v>1052</v>
      </c>
      <c r="H656" s="37">
        <f t="shared" si="598"/>
        <v>653</v>
      </c>
      <c r="I656" s="37"/>
    </row>
    <row r="657" spans="1:9">
      <c r="A657" s="37" t="s">
        <v>2194</v>
      </c>
      <c r="B657" s="37" t="s">
        <v>2195</v>
      </c>
      <c r="C657" s="74">
        <f t="shared" ref="C657:E657" si="634">C639</f>
        <v>0</v>
      </c>
      <c r="D657" s="74">
        <f t="shared" si="634"/>
        <v>0</v>
      </c>
      <c r="E657" s="74">
        <f t="shared" si="634"/>
        <v>65535</v>
      </c>
      <c r="F657" s="67" t="s">
        <v>230</v>
      </c>
      <c r="G657" s="67" t="s">
        <v>1052</v>
      </c>
      <c r="H657" s="37">
        <f t="shared" si="598"/>
        <v>654</v>
      </c>
      <c r="I657" s="37"/>
    </row>
    <row r="658" spans="1:9">
      <c r="A658" s="37" t="s">
        <v>2196</v>
      </c>
      <c r="B658" s="37" t="s">
        <v>2197</v>
      </c>
      <c r="C658" s="74">
        <f t="shared" ref="C658:E658" si="635">C640</f>
        <v>0</v>
      </c>
      <c r="D658" s="74">
        <f t="shared" si="635"/>
        <v>0</v>
      </c>
      <c r="E658" s="74">
        <f t="shared" si="635"/>
        <v>1</v>
      </c>
      <c r="F658" s="67" t="s">
        <v>230</v>
      </c>
      <c r="G658" s="67" t="s">
        <v>1052</v>
      </c>
      <c r="H658" s="37">
        <f t="shared" si="598"/>
        <v>655</v>
      </c>
      <c r="I658" s="37"/>
    </row>
    <row r="659" spans="1:9">
      <c r="A659" s="37" t="s">
        <v>2198</v>
      </c>
      <c r="B659" s="37" t="s">
        <v>2199</v>
      </c>
      <c r="C659" s="74">
        <f t="shared" ref="C659:E659" si="636">C641</f>
        <v>1</v>
      </c>
      <c r="D659" s="74">
        <f t="shared" si="636"/>
        <v>0</v>
      </c>
      <c r="E659" s="74">
        <f t="shared" si="636"/>
        <v>2</v>
      </c>
      <c r="F659" s="67" t="s">
        <v>230</v>
      </c>
      <c r="G659" s="67" t="s">
        <v>1052</v>
      </c>
      <c r="H659" s="37">
        <f t="shared" si="598"/>
        <v>656</v>
      </c>
      <c r="I659" s="37"/>
    </row>
    <row r="660" spans="1:9">
      <c r="A660" s="37" t="s">
        <v>2200</v>
      </c>
      <c r="B660" s="37" t="s">
        <v>2201</v>
      </c>
      <c r="C660" s="74">
        <f t="shared" ref="C660:E660" si="637">C642</f>
        <v>0</v>
      </c>
      <c r="D660" s="74">
        <f t="shared" si="637"/>
        <v>0</v>
      </c>
      <c r="E660" s="74">
        <f t="shared" si="637"/>
        <v>3</v>
      </c>
      <c r="F660" s="67" t="s">
        <v>230</v>
      </c>
      <c r="G660" s="67" t="s">
        <v>1052</v>
      </c>
      <c r="H660" s="37">
        <f t="shared" si="598"/>
        <v>657</v>
      </c>
      <c r="I660" s="37"/>
    </row>
    <row r="661" spans="1:9">
      <c r="A661" s="37" t="s">
        <v>2202</v>
      </c>
      <c r="B661" s="37" t="s">
        <v>2203</v>
      </c>
      <c r="C661" s="74">
        <f t="shared" ref="C661:E661" si="638">C643</f>
        <v>0</v>
      </c>
      <c r="D661" s="74">
        <f t="shared" si="638"/>
        <v>0</v>
      </c>
      <c r="E661" s="74">
        <f t="shared" si="638"/>
        <v>3</v>
      </c>
      <c r="F661" s="67" t="s">
        <v>230</v>
      </c>
      <c r="G661" s="67" t="s">
        <v>1052</v>
      </c>
      <c r="H661" s="37">
        <f t="shared" si="598"/>
        <v>658</v>
      </c>
      <c r="I661" s="37"/>
    </row>
    <row r="662" spans="1:9">
      <c r="A662" s="37" t="s">
        <v>2204</v>
      </c>
      <c r="B662" s="37" t="s">
        <v>2205</v>
      </c>
      <c r="C662" s="74">
        <f t="shared" ref="C662:E662" si="639">C644</f>
        <v>0</v>
      </c>
      <c r="D662" s="74">
        <f t="shared" si="639"/>
        <v>0</v>
      </c>
      <c r="E662" s="74">
        <f t="shared" si="639"/>
        <v>3</v>
      </c>
      <c r="F662" s="67" t="s">
        <v>230</v>
      </c>
      <c r="G662" s="67" t="s">
        <v>1052</v>
      </c>
      <c r="H662" s="37">
        <f t="shared" si="598"/>
        <v>659</v>
      </c>
      <c r="I662" s="37"/>
    </row>
    <row r="663" spans="1:9">
      <c r="A663" s="37" t="s">
        <v>2206</v>
      </c>
      <c r="B663" s="37" t="s">
        <v>2689</v>
      </c>
      <c r="C663" s="74">
        <f t="shared" ref="C663:E663" si="640">C645</f>
        <v>0</v>
      </c>
      <c r="D663" s="74">
        <f t="shared" si="640"/>
        <v>0</v>
      </c>
      <c r="E663" s="74">
        <f t="shared" si="640"/>
        <v>1</v>
      </c>
      <c r="F663" s="67" t="s">
        <v>230</v>
      </c>
      <c r="G663" s="67" t="s">
        <v>1052</v>
      </c>
      <c r="H663" s="37">
        <f t="shared" si="598"/>
        <v>660</v>
      </c>
      <c r="I663" s="37"/>
    </row>
    <row r="664" spans="1:9">
      <c r="A664" s="37" t="s">
        <v>2207</v>
      </c>
      <c r="B664" s="37" t="s">
        <v>2208</v>
      </c>
      <c r="C664" s="74">
        <f t="shared" ref="C664:E664" si="641">C646</f>
        <v>0</v>
      </c>
      <c r="D664" s="74">
        <f t="shared" si="641"/>
        <v>0</v>
      </c>
      <c r="E664" s="74">
        <f t="shared" si="641"/>
        <v>1</v>
      </c>
      <c r="F664" s="67" t="s">
        <v>230</v>
      </c>
      <c r="G664" s="67" t="s">
        <v>1052</v>
      </c>
      <c r="H664" s="37">
        <f t="shared" si="598"/>
        <v>661</v>
      </c>
      <c r="I664" s="37"/>
    </row>
    <row r="665" spans="1:9">
      <c r="A665" s="37" t="s">
        <v>2209</v>
      </c>
      <c r="B665" s="37" t="s">
        <v>2210</v>
      </c>
      <c r="C665" s="74">
        <f t="shared" ref="C665:E665" si="642">C647</f>
        <v>0</v>
      </c>
      <c r="D665" s="74">
        <f t="shared" si="642"/>
        <v>0</v>
      </c>
      <c r="E665" s="74">
        <f t="shared" si="642"/>
        <v>4</v>
      </c>
      <c r="F665" s="67" t="s">
        <v>230</v>
      </c>
      <c r="G665" s="67" t="s">
        <v>1052</v>
      </c>
      <c r="H665" s="37">
        <f t="shared" si="598"/>
        <v>662</v>
      </c>
      <c r="I665" s="37"/>
    </row>
    <row r="666" spans="1:9">
      <c r="A666" s="37" t="s">
        <v>2211</v>
      </c>
      <c r="B666" s="37" t="s">
        <v>2212</v>
      </c>
      <c r="C666" s="74" t="str">
        <f t="shared" ref="C666:E666" si="643">C648</f>
        <v>(空文字)</v>
      </c>
      <c r="D666" s="74" t="str">
        <f t="shared" si="643"/>
        <v>(空文字)</v>
      </c>
      <c r="E666" s="74" t="str">
        <f t="shared" si="643"/>
        <v>(空文字)</v>
      </c>
      <c r="F666" s="67" t="s">
        <v>230</v>
      </c>
      <c r="G666" s="67" t="s">
        <v>1052</v>
      </c>
      <c r="H666" s="37">
        <f t="shared" si="598"/>
        <v>663</v>
      </c>
      <c r="I666" s="37"/>
    </row>
    <row r="667" spans="1:9">
      <c r="A667" s="37" t="s">
        <v>2213</v>
      </c>
      <c r="B667" s="37" t="s">
        <v>2214</v>
      </c>
      <c r="C667" s="74" t="str">
        <f t="shared" ref="C667:E667" si="644">C649</f>
        <v>(空文字)</v>
      </c>
      <c r="D667" s="74" t="str">
        <f t="shared" si="644"/>
        <v>(空文字)</v>
      </c>
      <c r="E667" s="74" t="str">
        <f t="shared" si="644"/>
        <v>(空文字)</v>
      </c>
      <c r="F667" s="67" t="s">
        <v>230</v>
      </c>
      <c r="G667" s="67" t="s">
        <v>1052</v>
      </c>
      <c r="H667" s="37">
        <f t="shared" si="598"/>
        <v>664</v>
      </c>
      <c r="I667" s="37"/>
    </row>
    <row r="668" spans="1:9">
      <c r="A668" s="37" t="s">
        <v>2215</v>
      </c>
      <c r="B668" s="37" t="s">
        <v>2216</v>
      </c>
      <c r="C668" s="74">
        <f t="shared" ref="C668:E668" si="645">C650</f>
        <v>0</v>
      </c>
      <c r="D668" s="74">
        <f t="shared" si="645"/>
        <v>0</v>
      </c>
      <c r="E668" s="74">
        <f t="shared" si="645"/>
        <v>3</v>
      </c>
      <c r="F668" s="67" t="s">
        <v>230</v>
      </c>
      <c r="G668" s="67" t="s">
        <v>1052</v>
      </c>
      <c r="H668" s="37">
        <f t="shared" si="598"/>
        <v>665</v>
      </c>
      <c r="I668" s="37"/>
    </row>
    <row r="669" spans="1:9">
      <c r="A669" s="37" t="s">
        <v>3951</v>
      </c>
      <c r="B669" s="37" t="s">
        <v>4038</v>
      </c>
      <c r="C669" s="74">
        <f t="shared" ref="C669:E669" si="646">C651</f>
        <v>10000</v>
      </c>
      <c r="D669" s="74">
        <f t="shared" si="646"/>
        <v>1000</v>
      </c>
      <c r="E669" s="74">
        <f t="shared" si="646"/>
        <v>99999000</v>
      </c>
      <c r="F669" s="67" t="s">
        <v>230</v>
      </c>
      <c r="G669" s="67" t="s">
        <v>1052</v>
      </c>
      <c r="H669" s="37">
        <f t="shared" si="598"/>
        <v>666</v>
      </c>
      <c r="I669" s="37"/>
    </row>
    <row r="670" spans="1:9">
      <c r="A670" s="37" t="s">
        <v>4105</v>
      </c>
      <c r="B670" s="37" t="s">
        <v>4039</v>
      </c>
      <c r="C670" s="74">
        <f t="shared" ref="C670:E670" si="647">C652</f>
        <v>0</v>
      </c>
      <c r="D670" s="74">
        <f t="shared" si="647"/>
        <v>0</v>
      </c>
      <c r="E670" s="74">
        <f t="shared" si="647"/>
        <v>1</v>
      </c>
      <c r="F670" s="67" t="s">
        <v>230</v>
      </c>
      <c r="G670" s="67" t="s">
        <v>1052</v>
      </c>
      <c r="H670" s="37">
        <f t="shared" si="598"/>
        <v>667</v>
      </c>
      <c r="I670" s="37"/>
    </row>
    <row r="671" spans="1:9">
      <c r="A671" s="37" t="s">
        <v>2217</v>
      </c>
      <c r="B671" s="37" t="s">
        <v>2218</v>
      </c>
      <c r="C671" s="92">
        <f t="shared" si="611"/>
        <v>221</v>
      </c>
      <c r="D671" s="74">
        <f t="shared" ref="D671:E671" si="648">D653</f>
        <v>1</v>
      </c>
      <c r="E671" s="74">
        <f t="shared" si="648"/>
        <v>4096</v>
      </c>
      <c r="F671" s="67" t="s">
        <v>230</v>
      </c>
      <c r="G671" s="67" t="s">
        <v>230</v>
      </c>
      <c r="H671" s="37">
        <f t="shared" si="598"/>
        <v>668</v>
      </c>
      <c r="I671" s="37"/>
    </row>
    <row r="672" spans="1:9">
      <c r="A672" s="37" t="s">
        <v>2219</v>
      </c>
      <c r="B672" s="37" t="s">
        <v>2220</v>
      </c>
      <c r="C672" s="74" t="str">
        <f t="shared" ref="C672:E672" si="649">C654</f>
        <v>0x00000000</v>
      </c>
      <c r="D672" s="74" t="str">
        <f t="shared" si="649"/>
        <v>0x80000000</v>
      </c>
      <c r="E672" s="74" t="str">
        <f t="shared" si="649"/>
        <v>0x7fffffff</v>
      </c>
      <c r="F672" s="67" t="s">
        <v>230</v>
      </c>
      <c r="G672" s="67" t="s">
        <v>1052</v>
      </c>
      <c r="H672" s="37">
        <f t="shared" si="598"/>
        <v>669</v>
      </c>
      <c r="I672" s="37"/>
    </row>
    <row r="673" spans="1:9">
      <c r="A673" s="37" t="s">
        <v>2221</v>
      </c>
      <c r="B673" s="37" t="s">
        <v>2222</v>
      </c>
      <c r="C673" s="74">
        <f t="shared" ref="C673:E673" si="650">C655</f>
        <v>0</v>
      </c>
      <c r="D673" s="74">
        <f t="shared" si="650"/>
        <v>0</v>
      </c>
      <c r="E673" s="74">
        <f t="shared" si="650"/>
        <v>65535</v>
      </c>
      <c r="F673" s="67" t="s">
        <v>230</v>
      </c>
      <c r="G673" s="67" t="s">
        <v>1052</v>
      </c>
      <c r="H673" s="37">
        <f t="shared" si="598"/>
        <v>670</v>
      </c>
      <c r="I673" s="37"/>
    </row>
    <row r="674" spans="1:9">
      <c r="A674" s="37" t="s">
        <v>2223</v>
      </c>
      <c r="B674" s="37" t="s">
        <v>2224</v>
      </c>
      <c r="C674" s="74">
        <f t="shared" ref="C674:E674" si="651">C656</f>
        <v>1</v>
      </c>
      <c r="D674" s="74">
        <f t="shared" si="651"/>
        <v>0</v>
      </c>
      <c r="E674" s="74">
        <f t="shared" si="651"/>
        <v>1</v>
      </c>
      <c r="F674" s="67" t="s">
        <v>230</v>
      </c>
      <c r="G674" s="67" t="s">
        <v>1052</v>
      </c>
      <c r="H674" s="37">
        <f t="shared" si="598"/>
        <v>671</v>
      </c>
      <c r="I674" s="37"/>
    </row>
    <row r="675" spans="1:9">
      <c r="A675" s="37" t="s">
        <v>2225</v>
      </c>
      <c r="B675" s="37" t="s">
        <v>2226</v>
      </c>
      <c r="C675" s="74">
        <f t="shared" ref="C675:E675" si="652">C657</f>
        <v>0</v>
      </c>
      <c r="D675" s="74">
        <f t="shared" si="652"/>
        <v>0</v>
      </c>
      <c r="E675" s="74">
        <f t="shared" si="652"/>
        <v>65535</v>
      </c>
      <c r="F675" s="67" t="s">
        <v>230</v>
      </c>
      <c r="G675" s="67" t="s">
        <v>1052</v>
      </c>
      <c r="H675" s="37">
        <f t="shared" si="598"/>
        <v>672</v>
      </c>
      <c r="I675" s="37"/>
    </row>
    <row r="676" spans="1:9">
      <c r="A676" s="37" t="s">
        <v>2227</v>
      </c>
      <c r="B676" s="37" t="s">
        <v>2228</v>
      </c>
      <c r="C676" s="74">
        <f t="shared" ref="C676:E676" si="653">C658</f>
        <v>0</v>
      </c>
      <c r="D676" s="74">
        <f t="shared" si="653"/>
        <v>0</v>
      </c>
      <c r="E676" s="74">
        <f t="shared" si="653"/>
        <v>1</v>
      </c>
      <c r="F676" s="67" t="s">
        <v>230</v>
      </c>
      <c r="G676" s="67" t="s">
        <v>1052</v>
      </c>
      <c r="H676" s="37">
        <f t="shared" si="598"/>
        <v>673</v>
      </c>
      <c r="I676" s="37"/>
    </row>
    <row r="677" spans="1:9">
      <c r="A677" s="37" t="s">
        <v>2229</v>
      </c>
      <c r="B677" s="37" t="s">
        <v>2230</v>
      </c>
      <c r="C677" s="74">
        <f t="shared" ref="C677:E677" si="654">C659</f>
        <v>1</v>
      </c>
      <c r="D677" s="74">
        <f t="shared" si="654"/>
        <v>0</v>
      </c>
      <c r="E677" s="74">
        <f t="shared" si="654"/>
        <v>2</v>
      </c>
      <c r="F677" s="67" t="s">
        <v>230</v>
      </c>
      <c r="G677" s="67" t="s">
        <v>1052</v>
      </c>
      <c r="H677" s="37">
        <f t="shared" si="598"/>
        <v>674</v>
      </c>
      <c r="I677" s="37"/>
    </row>
    <row r="678" spans="1:9">
      <c r="A678" s="37" t="s">
        <v>2231</v>
      </c>
      <c r="B678" s="37" t="s">
        <v>2232</v>
      </c>
      <c r="C678" s="74">
        <f t="shared" ref="C678:E678" si="655">C660</f>
        <v>0</v>
      </c>
      <c r="D678" s="74">
        <f t="shared" si="655"/>
        <v>0</v>
      </c>
      <c r="E678" s="74">
        <f t="shared" si="655"/>
        <v>3</v>
      </c>
      <c r="F678" s="67" t="s">
        <v>230</v>
      </c>
      <c r="G678" s="67" t="s">
        <v>1052</v>
      </c>
      <c r="H678" s="37">
        <f t="shared" si="598"/>
        <v>675</v>
      </c>
      <c r="I678" s="37"/>
    </row>
    <row r="679" spans="1:9">
      <c r="A679" s="37" t="s">
        <v>2233</v>
      </c>
      <c r="B679" s="37" t="s">
        <v>2234</v>
      </c>
      <c r="C679" s="74">
        <f t="shared" ref="C679:E679" si="656">C661</f>
        <v>0</v>
      </c>
      <c r="D679" s="74">
        <f t="shared" si="656"/>
        <v>0</v>
      </c>
      <c r="E679" s="74">
        <f t="shared" si="656"/>
        <v>3</v>
      </c>
      <c r="F679" s="67" t="s">
        <v>230</v>
      </c>
      <c r="G679" s="67" t="s">
        <v>1052</v>
      </c>
      <c r="H679" s="37">
        <f t="shared" si="598"/>
        <v>676</v>
      </c>
      <c r="I679" s="37"/>
    </row>
    <row r="680" spans="1:9">
      <c r="A680" s="37" t="s">
        <v>2235</v>
      </c>
      <c r="B680" s="37" t="s">
        <v>2236</v>
      </c>
      <c r="C680" s="74">
        <f t="shared" ref="C680:E680" si="657">C662</f>
        <v>0</v>
      </c>
      <c r="D680" s="74">
        <f t="shared" si="657"/>
        <v>0</v>
      </c>
      <c r="E680" s="74">
        <f t="shared" si="657"/>
        <v>3</v>
      </c>
      <c r="F680" s="67" t="s">
        <v>230</v>
      </c>
      <c r="G680" s="67" t="s">
        <v>1052</v>
      </c>
      <c r="H680" s="37">
        <f t="shared" si="598"/>
        <v>677</v>
      </c>
      <c r="I680" s="37"/>
    </row>
    <row r="681" spans="1:9">
      <c r="A681" s="37" t="s">
        <v>2237</v>
      </c>
      <c r="B681" s="37" t="s">
        <v>2690</v>
      </c>
      <c r="C681" s="74">
        <f t="shared" ref="C681:E681" si="658">C663</f>
        <v>0</v>
      </c>
      <c r="D681" s="74">
        <f t="shared" si="658"/>
        <v>0</v>
      </c>
      <c r="E681" s="74">
        <f t="shared" si="658"/>
        <v>1</v>
      </c>
      <c r="F681" s="67" t="s">
        <v>230</v>
      </c>
      <c r="G681" s="67" t="s">
        <v>1052</v>
      </c>
      <c r="H681" s="37">
        <f t="shared" si="598"/>
        <v>678</v>
      </c>
      <c r="I681" s="37"/>
    </row>
    <row r="682" spans="1:9">
      <c r="A682" s="37" t="s">
        <v>2238</v>
      </c>
      <c r="B682" s="37" t="s">
        <v>2239</v>
      </c>
      <c r="C682" s="74">
        <f t="shared" ref="C682:E682" si="659">C664</f>
        <v>0</v>
      </c>
      <c r="D682" s="74">
        <f t="shared" si="659"/>
        <v>0</v>
      </c>
      <c r="E682" s="74">
        <f t="shared" si="659"/>
        <v>1</v>
      </c>
      <c r="F682" s="67" t="s">
        <v>230</v>
      </c>
      <c r="G682" s="67" t="s">
        <v>1052</v>
      </c>
      <c r="H682" s="37">
        <f t="shared" si="598"/>
        <v>679</v>
      </c>
      <c r="I682" s="37"/>
    </row>
    <row r="683" spans="1:9">
      <c r="A683" s="37" t="s">
        <v>2240</v>
      </c>
      <c r="B683" s="37" t="s">
        <v>2241</v>
      </c>
      <c r="C683" s="74">
        <f t="shared" ref="C683:E683" si="660">C665</f>
        <v>0</v>
      </c>
      <c r="D683" s="74">
        <f t="shared" si="660"/>
        <v>0</v>
      </c>
      <c r="E683" s="74">
        <f t="shared" si="660"/>
        <v>4</v>
      </c>
      <c r="F683" s="67" t="s">
        <v>230</v>
      </c>
      <c r="G683" s="67" t="s">
        <v>1052</v>
      </c>
      <c r="H683" s="37">
        <f t="shared" si="598"/>
        <v>680</v>
      </c>
      <c r="I683" s="37"/>
    </row>
    <row r="684" spans="1:9">
      <c r="A684" s="37" t="s">
        <v>2242</v>
      </c>
      <c r="B684" s="37" t="s">
        <v>2243</v>
      </c>
      <c r="C684" s="74" t="str">
        <f t="shared" ref="C684:E684" si="661">C666</f>
        <v>(空文字)</v>
      </c>
      <c r="D684" s="74" t="str">
        <f t="shared" si="661"/>
        <v>(空文字)</v>
      </c>
      <c r="E684" s="74" t="str">
        <f t="shared" si="661"/>
        <v>(空文字)</v>
      </c>
      <c r="F684" s="67" t="s">
        <v>230</v>
      </c>
      <c r="G684" s="67" t="s">
        <v>1052</v>
      </c>
      <c r="H684" s="37">
        <f t="shared" si="598"/>
        <v>681</v>
      </c>
      <c r="I684" s="37"/>
    </row>
    <row r="685" spans="1:9">
      <c r="A685" s="37" t="s">
        <v>2244</v>
      </c>
      <c r="B685" s="37" t="s">
        <v>2245</v>
      </c>
      <c r="C685" s="74" t="str">
        <f t="shared" ref="C685:E685" si="662">C667</f>
        <v>(空文字)</v>
      </c>
      <c r="D685" s="74" t="str">
        <f t="shared" si="662"/>
        <v>(空文字)</v>
      </c>
      <c r="E685" s="74" t="str">
        <f t="shared" si="662"/>
        <v>(空文字)</v>
      </c>
      <c r="F685" s="67" t="s">
        <v>230</v>
      </c>
      <c r="G685" s="67" t="s">
        <v>1052</v>
      </c>
      <c r="H685" s="37">
        <f t="shared" si="598"/>
        <v>682</v>
      </c>
      <c r="I685" s="37"/>
    </row>
    <row r="686" spans="1:9">
      <c r="A686" s="37" t="s">
        <v>2246</v>
      </c>
      <c r="B686" s="37" t="s">
        <v>2247</v>
      </c>
      <c r="C686" s="74">
        <f t="shared" ref="C686:E686" si="663">C668</f>
        <v>0</v>
      </c>
      <c r="D686" s="74">
        <f t="shared" si="663"/>
        <v>0</v>
      </c>
      <c r="E686" s="74">
        <f t="shared" si="663"/>
        <v>3</v>
      </c>
      <c r="F686" s="67" t="s">
        <v>230</v>
      </c>
      <c r="G686" s="67" t="s">
        <v>1052</v>
      </c>
      <c r="H686" s="37">
        <f t="shared" ref="H686:H749" si="664">ROW()-3</f>
        <v>683</v>
      </c>
      <c r="I686" s="37"/>
    </row>
    <row r="687" spans="1:9">
      <c r="A687" s="37" t="s">
        <v>3952</v>
      </c>
      <c r="B687" s="37" t="s">
        <v>4040</v>
      </c>
      <c r="C687" s="74">
        <f t="shared" ref="C687:E687" si="665">C669</f>
        <v>10000</v>
      </c>
      <c r="D687" s="74">
        <f t="shared" si="665"/>
        <v>1000</v>
      </c>
      <c r="E687" s="74">
        <f t="shared" si="665"/>
        <v>99999000</v>
      </c>
      <c r="F687" s="67" t="s">
        <v>230</v>
      </c>
      <c r="G687" s="67" t="s">
        <v>1052</v>
      </c>
      <c r="H687" s="37">
        <f t="shared" si="664"/>
        <v>684</v>
      </c>
      <c r="I687" s="37"/>
    </row>
    <row r="688" spans="1:9">
      <c r="A688" s="37" t="s">
        <v>4106</v>
      </c>
      <c r="B688" s="37" t="s">
        <v>4041</v>
      </c>
      <c r="C688" s="74">
        <f t="shared" ref="C688:E688" si="666">C670</f>
        <v>0</v>
      </c>
      <c r="D688" s="74">
        <f t="shared" si="666"/>
        <v>0</v>
      </c>
      <c r="E688" s="74">
        <f t="shared" si="666"/>
        <v>1</v>
      </c>
      <c r="F688" s="67" t="s">
        <v>230</v>
      </c>
      <c r="G688" s="67" t="s">
        <v>1052</v>
      </c>
      <c r="H688" s="37">
        <f t="shared" si="664"/>
        <v>685</v>
      </c>
      <c r="I688" s="37"/>
    </row>
    <row r="689" spans="1:9">
      <c r="A689" s="37" t="s">
        <v>2248</v>
      </c>
      <c r="B689" s="37" t="s">
        <v>2249</v>
      </c>
      <c r="C689" s="92">
        <f t="shared" si="611"/>
        <v>222</v>
      </c>
      <c r="D689" s="74">
        <f t="shared" ref="D689:E689" si="667">D671</f>
        <v>1</v>
      </c>
      <c r="E689" s="74">
        <f t="shared" si="667"/>
        <v>4096</v>
      </c>
      <c r="F689" s="67" t="s">
        <v>230</v>
      </c>
      <c r="G689" s="67" t="s">
        <v>230</v>
      </c>
      <c r="H689" s="37">
        <f t="shared" si="664"/>
        <v>686</v>
      </c>
      <c r="I689" s="37"/>
    </row>
    <row r="690" spans="1:9">
      <c r="A690" s="37" t="s">
        <v>2250</v>
      </c>
      <c r="B690" s="37" t="s">
        <v>2251</v>
      </c>
      <c r="C690" s="74" t="str">
        <f t="shared" ref="C690:E690" si="668">C672</f>
        <v>0x00000000</v>
      </c>
      <c r="D690" s="74" t="str">
        <f t="shared" si="668"/>
        <v>0x80000000</v>
      </c>
      <c r="E690" s="74" t="str">
        <f t="shared" si="668"/>
        <v>0x7fffffff</v>
      </c>
      <c r="F690" s="67" t="s">
        <v>230</v>
      </c>
      <c r="G690" s="67" t="s">
        <v>1052</v>
      </c>
      <c r="H690" s="37">
        <f t="shared" si="664"/>
        <v>687</v>
      </c>
      <c r="I690" s="37"/>
    </row>
    <row r="691" spans="1:9">
      <c r="A691" s="37" t="s">
        <v>2252</v>
      </c>
      <c r="B691" s="37" t="s">
        <v>2253</v>
      </c>
      <c r="C691" s="74">
        <f t="shared" ref="C691:E691" si="669">C673</f>
        <v>0</v>
      </c>
      <c r="D691" s="74">
        <f t="shared" si="669"/>
        <v>0</v>
      </c>
      <c r="E691" s="74">
        <f t="shared" si="669"/>
        <v>65535</v>
      </c>
      <c r="F691" s="67" t="s">
        <v>230</v>
      </c>
      <c r="G691" s="67" t="s">
        <v>1052</v>
      </c>
      <c r="H691" s="37">
        <f t="shared" si="664"/>
        <v>688</v>
      </c>
      <c r="I691" s="37"/>
    </row>
    <row r="692" spans="1:9">
      <c r="A692" s="37" t="s">
        <v>2254</v>
      </c>
      <c r="B692" s="37" t="s">
        <v>2255</v>
      </c>
      <c r="C692" s="74">
        <f t="shared" ref="C692:E692" si="670">C674</f>
        <v>1</v>
      </c>
      <c r="D692" s="74">
        <f t="shared" si="670"/>
        <v>0</v>
      </c>
      <c r="E692" s="74">
        <f t="shared" si="670"/>
        <v>1</v>
      </c>
      <c r="F692" s="67" t="s">
        <v>230</v>
      </c>
      <c r="G692" s="67" t="s">
        <v>1052</v>
      </c>
      <c r="H692" s="37">
        <f t="shared" si="664"/>
        <v>689</v>
      </c>
      <c r="I692" s="37"/>
    </row>
    <row r="693" spans="1:9">
      <c r="A693" s="37" t="s">
        <v>2256</v>
      </c>
      <c r="B693" s="37" t="s">
        <v>2257</v>
      </c>
      <c r="C693" s="74">
        <f t="shared" ref="C693:E693" si="671">C675</f>
        <v>0</v>
      </c>
      <c r="D693" s="74">
        <f t="shared" si="671"/>
        <v>0</v>
      </c>
      <c r="E693" s="74">
        <f t="shared" si="671"/>
        <v>65535</v>
      </c>
      <c r="F693" s="67" t="s">
        <v>230</v>
      </c>
      <c r="G693" s="67" t="s">
        <v>1052</v>
      </c>
      <c r="H693" s="37">
        <f t="shared" si="664"/>
        <v>690</v>
      </c>
      <c r="I693" s="37"/>
    </row>
    <row r="694" spans="1:9">
      <c r="A694" s="37" t="s">
        <v>2258</v>
      </c>
      <c r="B694" s="37" t="s">
        <v>2259</v>
      </c>
      <c r="C694" s="74">
        <f t="shared" ref="C694:E694" si="672">C676</f>
        <v>0</v>
      </c>
      <c r="D694" s="74">
        <f t="shared" si="672"/>
        <v>0</v>
      </c>
      <c r="E694" s="74">
        <f t="shared" si="672"/>
        <v>1</v>
      </c>
      <c r="F694" s="67" t="s">
        <v>230</v>
      </c>
      <c r="G694" s="67" t="s">
        <v>1052</v>
      </c>
      <c r="H694" s="37">
        <f t="shared" si="664"/>
        <v>691</v>
      </c>
      <c r="I694" s="37"/>
    </row>
    <row r="695" spans="1:9">
      <c r="A695" s="37" t="s">
        <v>2260</v>
      </c>
      <c r="B695" s="37" t="s">
        <v>2261</v>
      </c>
      <c r="C695" s="74">
        <f t="shared" ref="C695:E695" si="673">C677</f>
        <v>1</v>
      </c>
      <c r="D695" s="74">
        <f t="shared" si="673"/>
        <v>0</v>
      </c>
      <c r="E695" s="74">
        <f t="shared" si="673"/>
        <v>2</v>
      </c>
      <c r="F695" s="67" t="s">
        <v>230</v>
      </c>
      <c r="G695" s="67" t="s">
        <v>1052</v>
      </c>
      <c r="H695" s="37">
        <f t="shared" si="664"/>
        <v>692</v>
      </c>
      <c r="I695" s="37"/>
    </row>
    <row r="696" spans="1:9">
      <c r="A696" s="37" t="s">
        <v>2262</v>
      </c>
      <c r="B696" s="37" t="s">
        <v>2263</v>
      </c>
      <c r="C696" s="74">
        <f t="shared" ref="C696:E696" si="674">C678</f>
        <v>0</v>
      </c>
      <c r="D696" s="74">
        <f t="shared" si="674"/>
        <v>0</v>
      </c>
      <c r="E696" s="74">
        <f t="shared" si="674"/>
        <v>3</v>
      </c>
      <c r="F696" s="67" t="s">
        <v>230</v>
      </c>
      <c r="G696" s="67" t="s">
        <v>1052</v>
      </c>
      <c r="H696" s="37">
        <f t="shared" si="664"/>
        <v>693</v>
      </c>
      <c r="I696" s="37"/>
    </row>
    <row r="697" spans="1:9">
      <c r="A697" s="37" t="s">
        <v>2264</v>
      </c>
      <c r="B697" s="37" t="s">
        <v>2265</v>
      </c>
      <c r="C697" s="74">
        <f t="shared" ref="C697:E697" si="675">C679</f>
        <v>0</v>
      </c>
      <c r="D697" s="74">
        <f t="shared" si="675"/>
        <v>0</v>
      </c>
      <c r="E697" s="74">
        <f t="shared" si="675"/>
        <v>3</v>
      </c>
      <c r="F697" s="67" t="s">
        <v>230</v>
      </c>
      <c r="G697" s="67" t="s">
        <v>1052</v>
      </c>
      <c r="H697" s="37">
        <f t="shared" si="664"/>
        <v>694</v>
      </c>
      <c r="I697" s="37"/>
    </row>
    <row r="698" spans="1:9">
      <c r="A698" s="37" t="s">
        <v>2266</v>
      </c>
      <c r="B698" s="37" t="s">
        <v>2267</v>
      </c>
      <c r="C698" s="74">
        <f t="shared" ref="C698:E698" si="676">C680</f>
        <v>0</v>
      </c>
      <c r="D698" s="74">
        <f t="shared" si="676"/>
        <v>0</v>
      </c>
      <c r="E698" s="74">
        <f t="shared" si="676"/>
        <v>3</v>
      </c>
      <c r="F698" s="67" t="s">
        <v>230</v>
      </c>
      <c r="G698" s="67" t="s">
        <v>1052</v>
      </c>
      <c r="H698" s="37">
        <f t="shared" si="664"/>
        <v>695</v>
      </c>
      <c r="I698" s="37"/>
    </row>
    <row r="699" spans="1:9">
      <c r="A699" s="37" t="s">
        <v>2268</v>
      </c>
      <c r="B699" s="37" t="s">
        <v>2691</v>
      </c>
      <c r="C699" s="74">
        <f t="shared" ref="C699:E699" si="677">C681</f>
        <v>0</v>
      </c>
      <c r="D699" s="74">
        <f t="shared" si="677"/>
        <v>0</v>
      </c>
      <c r="E699" s="74">
        <f t="shared" si="677"/>
        <v>1</v>
      </c>
      <c r="F699" s="67" t="s">
        <v>230</v>
      </c>
      <c r="G699" s="67" t="s">
        <v>1052</v>
      </c>
      <c r="H699" s="37">
        <f t="shared" si="664"/>
        <v>696</v>
      </c>
      <c r="I699" s="37"/>
    </row>
    <row r="700" spans="1:9">
      <c r="A700" s="37" t="s">
        <v>2269</v>
      </c>
      <c r="B700" s="37" t="s">
        <v>2270</v>
      </c>
      <c r="C700" s="74">
        <f t="shared" ref="C700:E700" si="678">C682</f>
        <v>0</v>
      </c>
      <c r="D700" s="74">
        <f t="shared" si="678"/>
        <v>0</v>
      </c>
      <c r="E700" s="74">
        <f t="shared" si="678"/>
        <v>1</v>
      </c>
      <c r="F700" s="67" t="s">
        <v>230</v>
      </c>
      <c r="G700" s="67" t="s">
        <v>1052</v>
      </c>
      <c r="H700" s="37">
        <f t="shared" si="664"/>
        <v>697</v>
      </c>
      <c r="I700" s="37"/>
    </row>
    <row r="701" spans="1:9">
      <c r="A701" s="37" t="s">
        <v>2271</v>
      </c>
      <c r="B701" s="37" t="s">
        <v>2272</v>
      </c>
      <c r="C701" s="74">
        <f t="shared" ref="C701:E701" si="679">C683</f>
        <v>0</v>
      </c>
      <c r="D701" s="74">
        <f t="shared" si="679"/>
        <v>0</v>
      </c>
      <c r="E701" s="74">
        <f t="shared" si="679"/>
        <v>4</v>
      </c>
      <c r="F701" s="67" t="s">
        <v>230</v>
      </c>
      <c r="G701" s="67" t="s">
        <v>1052</v>
      </c>
      <c r="H701" s="37">
        <f t="shared" si="664"/>
        <v>698</v>
      </c>
      <c r="I701" s="37"/>
    </row>
    <row r="702" spans="1:9">
      <c r="A702" s="37" t="s">
        <v>2273</v>
      </c>
      <c r="B702" s="37" t="s">
        <v>2274</v>
      </c>
      <c r="C702" s="74" t="str">
        <f t="shared" ref="C702:E702" si="680">C684</f>
        <v>(空文字)</v>
      </c>
      <c r="D702" s="74" t="str">
        <f t="shared" si="680"/>
        <v>(空文字)</v>
      </c>
      <c r="E702" s="74" t="str">
        <f t="shared" si="680"/>
        <v>(空文字)</v>
      </c>
      <c r="F702" s="67" t="s">
        <v>230</v>
      </c>
      <c r="G702" s="67" t="s">
        <v>1052</v>
      </c>
      <c r="H702" s="37">
        <f t="shared" si="664"/>
        <v>699</v>
      </c>
      <c r="I702" s="37"/>
    </row>
    <row r="703" spans="1:9">
      <c r="A703" s="37" t="s">
        <v>2275</v>
      </c>
      <c r="B703" s="37" t="s">
        <v>2276</v>
      </c>
      <c r="C703" s="74" t="str">
        <f t="shared" ref="C703:E703" si="681">C685</f>
        <v>(空文字)</v>
      </c>
      <c r="D703" s="74" t="str">
        <f t="shared" si="681"/>
        <v>(空文字)</v>
      </c>
      <c r="E703" s="74" t="str">
        <f t="shared" si="681"/>
        <v>(空文字)</v>
      </c>
      <c r="F703" s="67" t="s">
        <v>230</v>
      </c>
      <c r="G703" s="67" t="s">
        <v>1052</v>
      </c>
      <c r="H703" s="37">
        <f t="shared" si="664"/>
        <v>700</v>
      </c>
      <c r="I703" s="37"/>
    </row>
    <row r="704" spans="1:9">
      <c r="A704" s="37" t="s">
        <v>2277</v>
      </c>
      <c r="B704" s="37" t="s">
        <v>2278</v>
      </c>
      <c r="C704" s="74">
        <f t="shared" ref="C704:E704" si="682">C686</f>
        <v>0</v>
      </c>
      <c r="D704" s="74">
        <f t="shared" si="682"/>
        <v>0</v>
      </c>
      <c r="E704" s="74">
        <f t="shared" si="682"/>
        <v>3</v>
      </c>
      <c r="F704" s="67" t="s">
        <v>230</v>
      </c>
      <c r="G704" s="67" t="s">
        <v>1052</v>
      </c>
      <c r="H704" s="37">
        <f t="shared" si="664"/>
        <v>701</v>
      </c>
      <c r="I704" s="37"/>
    </row>
    <row r="705" spans="1:9">
      <c r="A705" s="37" t="s">
        <v>3953</v>
      </c>
      <c r="B705" s="37" t="s">
        <v>4042</v>
      </c>
      <c r="C705" s="74">
        <f t="shared" ref="C705:E705" si="683">C687</f>
        <v>10000</v>
      </c>
      <c r="D705" s="74">
        <f t="shared" si="683"/>
        <v>1000</v>
      </c>
      <c r="E705" s="74">
        <f t="shared" si="683"/>
        <v>99999000</v>
      </c>
      <c r="F705" s="67" t="s">
        <v>230</v>
      </c>
      <c r="G705" s="67" t="s">
        <v>1052</v>
      </c>
      <c r="H705" s="37">
        <f t="shared" si="664"/>
        <v>702</v>
      </c>
      <c r="I705" s="37"/>
    </row>
    <row r="706" spans="1:9">
      <c r="A706" s="37" t="s">
        <v>4107</v>
      </c>
      <c r="B706" s="37" t="s">
        <v>4043</v>
      </c>
      <c r="C706" s="74">
        <f t="shared" ref="C706:E706" si="684">C688</f>
        <v>0</v>
      </c>
      <c r="D706" s="74">
        <f t="shared" si="684"/>
        <v>0</v>
      </c>
      <c r="E706" s="74">
        <f t="shared" si="684"/>
        <v>1</v>
      </c>
      <c r="F706" s="67" t="s">
        <v>230</v>
      </c>
      <c r="G706" s="67" t="s">
        <v>1052</v>
      </c>
      <c r="H706" s="37">
        <f t="shared" si="664"/>
        <v>703</v>
      </c>
      <c r="I706" s="37"/>
    </row>
    <row r="707" spans="1:9">
      <c r="A707" s="37" t="s">
        <v>2279</v>
      </c>
      <c r="B707" s="37" t="s">
        <v>2280</v>
      </c>
      <c r="C707" s="92">
        <f t="shared" ref="C707:C761" si="685">C689+1</f>
        <v>223</v>
      </c>
      <c r="D707" s="74">
        <f t="shared" ref="D707:E707" si="686">D689</f>
        <v>1</v>
      </c>
      <c r="E707" s="74">
        <f t="shared" si="686"/>
        <v>4096</v>
      </c>
      <c r="F707" s="67" t="s">
        <v>230</v>
      </c>
      <c r="G707" s="67" t="s">
        <v>230</v>
      </c>
      <c r="H707" s="37">
        <f t="shared" si="664"/>
        <v>704</v>
      </c>
      <c r="I707" s="37"/>
    </row>
    <row r="708" spans="1:9">
      <c r="A708" s="37" t="s">
        <v>2281</v>
      </c>
      <c r="B708" s="37" t="s">
        <v>2282</v>
      </c>
      <c r="C708" s="74" t="str">
        <f t="shared" ref="C708:E708" si="687">C690</f>
        <v>0x00000000</v>
      </c>
      <c r="D708" s="74" t="str">
        <f t="shared" si="687"/>
        <v>0x80000000</v>
      </c>
      <c r="E708" s="74" t="str">
        <f t="shared" si="687"/>
        <v>0x7fffffff</v>
      </c>
      <c r="F708" s="67" t="s">
        <v>230</v>
      </c>
      <c r="G708" s="67" t="s">
        <v>1052</v>
      </c>
      <c r="H708" s="37">
        <f t="shared" si="664"/>
        <v>705</v>
      </c>
      <c r="I708" s="37"/>
    </row>
    <row r="709" spans="1:9">
      <c r="A709" s="37" t="s">
        <v>2283</v>
      </c>
      <c r="B709" s="37" t="s">
        <v>2284</v>
      </c>
      <c r="C709" s="74">
        <f t="shared" ref="C709:E709" si="688">C691</f>
        <v>0</v>
      </c>
      <c r="D709" s="74">
        <f t="shared" si="688"/>
        <v>0</v>
      </c>
      <c r="E709" s="74">
        <f t="shared" si="688"/>
        <v>65535</v>
      </c>
      <c r="F709" s="67" t="s">
        <v>230</v>
      </c>
      <c r="G709" s="67" t="s">
        <v>1052</v>
      </c>
      <c r="H709" s="37">
        <f t="shared" si="664"/>
        <v>706</v>
      </c>
      <c r="I709" s="37"/>
    </row>
    <row r="710" spans="1:9">
      <c r="A710" s="37" t="s">
        <v>2285</v>
      </c>
      <c r="B710" s="37" t="s">
        <v>2286</v>
      </c>
      <c r="C710" s="74">
        <f t="shared" ref="C710:E710" si="689">C692</f>
        <v>1</v>
      </c>
      <c r="D710" s="74">
        <f t="shared" si="689"/>
        <v>0</v>
      </c>
      <c r="E710" s="74">
        <f t="shared" si="689"/>
        <v>1</v>
      </c>
      <c r="F710" s="67" t="s">
        <v>230</v>
      </c>
      <c r="G710" s="67" t="s">
        <v>1052</v>
      </c>
      <c r="H710" s="37">
        <f t="shared" si="664"/>
        <v>707</v>
      </c>
      <c r="I710" s="37"/>
    </row>
    <row r="711" spans="1:9">
      <c r="A711" s="37" t="s">
        <v>2287</v>
      </c>
      <c r="B711" s="37" t="s">
        <v>2288</v>
      </c>
      <c r="C711" s="74">
        <f t="shared" ref="C711:E711" si="690">C693</f>
        <v>0</v>
      </c>
      <c r="D711" s="74">
        <f t="shared" si="690"/>
        <v>0</v>
      </c>
      <c r="E711" s="74">
        <f t="shared" si="690"/>
        <v>65535</v>
      </c>
      <c r="F711" s="67" t="s">
        <v>230</v>
      </c>
      <c r="G711" s="67" t="s">
        <v>1052</v>
      </c>
      <c r="H711" s="37">
        <f t="shared" si="664"/>
        <v>708</v>
      </c>
      <c r="I711" s="37"/>
    </row>
    <row r="712" spans="1:9">
      <c r="A712" s="37" t="s">
        <v>2289</v>
      </c>
      <c r="B712" s="37" t="s">
        <v>2290</v>
      </c>
      <c r="C712" s="74">
        <f t="shared" ref="C712:E712" si="691">C694</f>
        <v>0</v>
      </c>
      <c r="D712" s="74">
        <f t="shared" si="691"/>
        <v>0</v>
      </c>
      <c r="E712" s="74">
        <f t="shared" si="691"/>
        <v>1</v>
      </c>
      <c r="F712" s="67" t="s">
        <v>230</v>
      </c>
      <c r="G712" s="67" t="s">
        <v>1052</v>
      </c>
      <c r="H712" s="37">
        <f t="shared" si="664"/>
        <v>709</v>
      </c>
      <c r="I712" s="37"/>
    </row>
    <row r="713" spans="1:9">
      <c r="A713" s="37" t="s">
        <v>2291</v>
      </c>
      <c r="B713" s="37" t="s">
        <v>2292</v>
      </c>
      <c r="C713" s="74">
        <f t="shared" ref="C713:E713" si="692">C695</f>
        <v>1</v>
      </c>
      <c r="D713" s="74">
        <f t="shared" si="692"/>
        <v>0</v>
      </c>
      <c r="E713" s="74">
        <f t="shared" si="692"/>
        <v>2</v>
      </c>
      <c r="F713" s="67" t="s">
        <v>230</v>
      </c>
      <c r="G713" s="67" t="s">
        <v>1052</v>
      </c>
      <c r="H713" s="37">
        <f t="shared" si="664"/>
        <v>710</v>
      </c>
      <c r="I713" s="37"/>
    </row>
    <row r="714" spans="1:9">
      <c r="A714" s="37" t="s">
        <v>2293</v>
      </c>
      <c r="B714" s="37" t="s">
        <v>2294</v>
      </c>
      <c r="C714" s="74">
        <f t="shared" ref="C714:E714" si="693">C696</f>
        <v>0</v>
      </c>
      <c r="D714" s="74">
        <f t="shared" si="693"/>
        <v>0</v>
      </c>
      <c r="E714" s="74">
        <f t="shared" si="693"/>
        <v>3</v>
      </c>
      <c r="F714" s="67" t="s">
        <v>230</v>
      </c>
      <c r="G714" s="67" t="s">
        <v>1052</v>
      </c>
      <c r="H714" s="37">
        <f t="shared" si="664"/>
        <v>711</v>
      </c>
      <c r="I714" s="37"/>
    </row>
    <row r="715" spans="1:9">
      <c r="A715" s="37" t="s">
        <v>2295</v>
      </c>
      <c r="B715" s="37" t="s">
        <v>2296</v>
      </c>
      <c r="C715" s="74">
        <f t="shared" ref="C715:E715" si="694">C697</f>
        <v>0</v>
      </c>
      <c r="D715" s="74">
        <f t="shared" si="694"/>
        <v>0</v>
      </c>
      <c r="E715" s="74">
        <f t="shared" si="694"/>
        <v>3</v>
      </c>
      <c r="F715" s="67" t="s">
        <v>230</v>
      </c>
      <c r="G715" s="67" t="s">
        <v>1052</v>
      </c>
      <c r="H715" s="37">
        <f t="shared" si="664"/>
        <v>712</v>
      </c>
      <c r="I715" s="37"/>
    </row>
    <row r="716" spans="1:9">
      <c r="A716" s="37" t="s">
        <v>2297</v>
      </c>
      <c r="B716" s="37" t="s">
        <v>2298</v>
      </c>
      <c r="C716" s="74">
        <f t="shared" ref="C716:E716" si="695">C698</f>
        <v>0</v>
      </c>
      <c r="D716" s="74">
        <f t="shared" si="695"/>
        <v>0</v>
      </c>
      <c r="E716" s="74">
        <f t="shared" si="695"/>
        <v>3</v>
      </c>
      <c r="F716" s="67" t="s">
        <v>230</v>
      </c>
      <c r="G716" s="67" t="s">
        <v>1052</v>
      </c>
      <c r="H716" s="37">
        <f t="shared" si="664"/>
        <v>713</v>
      </c>
      <c r="I716" s="37"/>
    </row>
    <row r="717" spans="1:9">
      <c r="A717" s="37" t="s">
        <v>2299</v>
      </c>
      <c r="B717" s="37" t="s">
        <v>2692</v>
      </c>
      <c r="C717" s="74">
        <f t="shared" ref="C717:E717" si="696">C699</f>
        <v>0</v>
      </c>
      <c r="D717" s="74">
        <f t="shared" si="696"/>
        <v>0</v>
      </c>
      <c r="E717" s="74">
        <f t="shared" si="696"/>
        <v>1</v>
      </c>
      <c r="F717" s="67" t="s">
        <v>230</v>
      </c>
      <c r="G717" s="67" t="s">
        <v>1052</v>
      </c>
      <c r="H717" s="37">
        <f t="shared" si="664"/>
        <v>714</v>
      </c>
      <c r="I717" s="37"/>
    </row>
    <row r="718" spans="1:9">
      <c r="A718" s="37" t="s">
        <v>2300</v>
      </c>
      <c r="B718" s="37" t="s">
        <v>2301</v>
      </c>
      <c r="C718" s="74">
        <f t="shared" ref="C718:E718" si="697">C700</f>
        <v>0</v>
      </c>
      <c r="D718" s="74">
        <f t="shared" si="697"/>
        <v>0</v>
      </c>
      <c r="E718" s="74">
        <f t="shared" si="697"/>
        <v>1</v>
      </c>
      <c r="F718" s="67" t="s">
        <v>230</v>
      </c>
      <c r="G718" s="67" t="s">
        <v>1052</v>
      </c>
      <c r="H718" s="37">
        <f t="shared" si="664"/>
        <v>715</v>
      </c>
      <c r="I718" s="37"/>
    </row>
    <row r="719" spans="1:9">
      <c r="A719" s="37" t="s">
        <v>2302</v>
      </c>
      <c r="B719" s="37" t="s">
        <v>2303</v>
      </c>
      <c r="C719" s="74">
        <f t="shared" ref="C719:E719" si="698">C701</f>
        <v>0</v>
      </c>
      <c r="D719" s="74">
        <f t="shared" si="698"/>
        <v>0</v>
      </c>
      <c r="E719" s="74">
        <f t="shared" si="698"/>
        <v>4</v>
      </c>
      <c r="F719" s="67" t="s">
        <v>230</v>
      </c>
      <c r="G719" s="67" t="s">
        <v>1052</v>
      </c>
      <c r="H719" s="37">
        <f t="shared" si="664"/>
        <v>716</v>
      </c>
      <c r="I719" s="37"/>
    </row>
    <row r="720" spans="1:9">
      <c r="A720" s="37" t="s">
        <v>2304</v>
      </c>
      <c r="B720" s="37" t="s">
        <v>2305</v>
      </c>
      <c r="C720" s="74" t="str">
        <f t="shared" ref="C720:E720" si="699">C702</f>
        <v>(空文字)</v>
      </c>
      <c r="D720" s="74" t="str">
        <f t="shared" si="699"/>
        <v>(空文字)</v>
      </c>
      <c r="E720" s="74" t="str">
        <f t="shared" si="699"/>
        <v>(空文字)</v>
      </c>
      <c r="F720" s="67" t="s">
        <v>230</v>
      </c>
      <c r="G720" s="67" t="s">
        <v>1052</v>
      </c>
      <c r="H720" s="37">
        <f t="shared" si="664"/>
        <v>717</v>
      </c>
      <c r="I720" s="37"/>
    </row>
    <row r="721" spans="1:9">
      <c r="A721" s="37" t="s">
        <v>2306</v>
      </c>
      <c r="B721" s="37" t="s">
        <v>2307</v>
      </c>
      <c r="C721" s="74" t="str">
        <f t="shared" ref="C721:E721" si="700">C703</f>
        <v>(空文字)</v>
      </c>
      <c r="D721" s="74" t="str">
        <f t="shared" si="700"/>
        <v>(空文字)</v>
      </c>
      <c r="E721" s="74" t="str">
        <f t="shared" si="700"/>
        <v>(空文字)</v>
      </c>
      <c r="F721" s="67" t="s">
        <v>230</v>
      </c>
      <c r="G721" s="67" t="s">
        <v>1052</v>
      </c>
      <c r="H721" s="37">
        <f t="shared" si="664"/>
        <v>718</v>
      </c>
      <c r="I721" s="37"/>
    </row>
    <row r="722" spans="1:9">
      <c r="A722" s="37" t="s">
        <v>2308</v>
      </c>
      <c r="B722" s="37" t="s">
        <v>2309</v>
      </c>
      <c r="C722" s="74">
        <f t="shared" ref="C722:E722" si="701">C704</f>
        <v>0</v>
      </c>
      <c r="D722" s="74">
        <f t="shared" si="701"/>
        <v>0</v>
      </c>
      <c r="E722" s="74">
        <f t="shared" si="701"/>
        <v>3</v>
      </c>
      <c r="F722" s="67" t="s">
        <v>230</v>
      </c>
      <c r="G722" s="67" t="s">
        <v>1052</v>
      </c>
      <c r="H722" s="37">
        <f t="shared" si="664"/>
        <v>719</v>
      </c>
      <c r="I722" s="37"/>
    </row>
    <row r="723" spans="1:9">
      <c r="A723" s="37" t="s">
        <v>3954</v>
      </c>
      <c r="B723" s="37" t="s">
        <v>4044</v>
      </c>
      <c r="C723" s="74">
        <f t="shared" ref="C723:E723" si="702">C705</f>
        <v>10000</v>
      </c>
      <c r="D723" s="74">
        <f t="shared" si="702"/>
        <v>1000</v>
      </c>
      <c r="E723" s="74">
        <f t="shared" si="702"/>
        <v>99999000</v>
      </c>
      <c r="F723" s="67" t="s">
        <v>230</v>
      </c>
      <c r="G723" s="67" t="s">
        <v>1052</v>
      </c>
      <c r="H723" s="37">
        <f t="shared" si="664"/>
        <v>720</v>
      </c>
      <c r="I723" s="37"/>
    </row>
    <row r="724" spans="1:9">
      <c r="A724" s="37" t="s">
        <v>4108</v>
      </c>
      <c r="B724" s="37" t="s">
        <v>4045</v>
      </c>
      <c r="C724" s="74">
        <f t="shared" ref="C724:E724" si="703">C706</f>
        <v>0</v>
      </c>
      <c r="D724" s="74">
        <f t="shared" si="703"/>
        <v>0</v>
      </c>
      <c r="E724" s="74">
        <f t="shared" si="703"/>
        <v>1</v>
      </c>
      <c r="F724" s="67" t="s">
        <v>230</v>
      </c>
      <c r="G724" s="67" t="s">
        <v>1052</v>
      </c>
      <c r="H724" s="37">
        <f t="shared" si="664"/>
        <v>721</v>
      </c>
      <c r="I724" s="37"/>
    </row>
    <row r="725" spans="1:9">
      <c r="A725" s="37" t="s">
        <v>2310</v>
      </c>
      <c r="B725" s="37" t="s">
        <v>2311</v>
      </c>
      <c r="C725" s="92">
        <f t="shared" si="685"/>
        <v>224</v>
      </c>
      <c r="D725" s="74">
        <f t="shared" ref="D725:E725" si="704">D707</f>
        <v>1</v>
      </c>
      <c r="E725" s="74">
        <f t="shared" si="704"/>
        <v>4096</v>
      </c>
      <c r="F725" s="67" t="s">
        <v>230</v>
      </c>
      <c r="G725" s="67" t="s">
        <v>230</v>
      </c>
      <c r="H725" s="37">
        <f t="shared" si="664"/>
        <v>722</v>
      </c>
      <c r="I725" s="37"/>
    </row>
    <row r="726" spans="1:9">
      <c r="A726" s="37" t="s">
        <v>2312</v>
      </c>
      <c r="B726" s="37" t="s">
        <v>2313</v>
      </c>
      <c r="C726" s="74" t="str">
        <f t="shared" ref="C726:E726" si="705">C708</f>
        <v>0x00000000</v>
      </c>
      <c r="D726" s="74" t="str">
        <f t="shared" si="705"/>
        <v>0x80000000</v>
      </c>
      <c r="E726" s="74" t="str">
        <f t="shared" si="705"/>
        <v>0x7fffffff</v>
      </c>
      <c r="F726" s="67" t="s">
        <v>230</v>
      </c>
      <c r="G726" s="67" t="s">
        <v>1052</v>
      </c>
      <c r="H726" s="37">
        <f t="shared" si="664"/>
        <v>723</v>
      </c>
      <c r="I726" s="37"/>
    </row>
    <row r="727" spans="1:9">
      <c r="A727" s="37" t="s">
        <v>2314</v>
      </c>
      <c r="B727" s="37" t="s">
        <v>2315</v>
      </c>
      <c r="C727" s="74">
        <f t="shared" ref="C727:E727" si="706">C709</f>
        <v>0</v>
      </c>
      <c r="D727" s="74">
        <f t="shared" si="706"/>
        <v>0</v>
      </c>
      <c r="E727" s="74">
        <f t="shared" si="706"/>
        <v>65535</v>
      </c>
      <c r="F727" s="67" t="s">
        <v>230</v>
      </c>
      <c r="G727" s="67" t="s">
        <v>1052</v>
      </c>
      <c r="H727" s="37">
        <f t="shared" si="664"/>
        <v>724</v>
      </c>
      <c r="I727" s="37"/>
    </row>
    <row r="728" spans="1:9">
      <c r="A728" s="37" t="s">
        <v>2316</v>
      </c>
      <c r="B728" s="37" t="s">
        <v>2317</v>
      </c>
      <c r="C728" s="74">
        <f t="shared" ref="C728:E728" si="707">C710</f>
        <v>1</v>
      </c>
      <c r="D728" s="74">
        <f t="shared" si="707"/>
        <v>0</v>
      </c>
      <c r="E728" s="74">
        <f t="shared" si="707"/>
        <v>1</v>
      </c>
      <c r="F728" s="67" t="s">
        <v>230</v>
      </c>
      <c r="G728" s="67" t="s">
        <v>1052</v>
      </c>
      <c r="H728" s="37">
        <f t="shared" si="664"/>
        <v>725</v>
      </c>
      <c r="I728" s="37"/>
    </row>
    <row r="729" spans="1:9">
      <c r="A729" s="37" t="s">
        <v>2318</v>
      </c>
      <c r="B729" s="37" t="s">
        <v>2319</v>
      </c>
      <c r="C729" s="74">
        <f t="shared" ref="C729:E729" si="708">C711</f>
        <v>0</v>
      </c>
      <c r="D729" s="74">
        <f t="shared" si="708"/>
        <v>0</v>
      </c>
      <c r="E729" s="74">
        <f t="shared" si="708"/>
        <v>65535</v>
      </c>
      <c r="F729" s="67" t="s">
        <v>230</v>
      </c>
      <c r="G729" s="67" t="s">
        <v>1052</v>
      </c>
      <c r="H729" s="37">
        <f t="shared" si="664"/>
        <v>726</v>
      </c>
      <c r="I729" s="37"/>
    </row>
    <row r="730" spans="1:9">
      <c r="A730" s="37" t="s">
        <v>2320</v>
      </c>
      <c r="B730" s="37" t="s">
        <v>2321</v>
      </c>
      <c r="C730" s="74">
        <f t="shared" ref="C730:E730" si="709">C712</f>
        <v>0</v>
      </c>
      <c r="D730" s="74">
        <f t="shared" si="709"/>
        <v>0</v>
      </c>
      <c r="E730" s="74">
        <f t="shared" si="709"/>
        <v>1</v>
      </c>
      <c r="F730" s="67" t="s">
        <v>230</v>
      </c>
      <c r="G730" s="67" t="s">
        <v>1052</v>
      </c>
      <c r="H730" s="37">
        <f t="shared" si="664"/>
        <v>727</v>
      </c>
      <c r="I730" s="37"/>
    </row>
    <row r="731" spans="1:9">
      <c r="A731" s="37" t="s">
        <v>2322</v>
      </c>
      <c r="B731" s="37" t="s">
        <v>2323</v>
      </c>
      <c r="C731" s="74">
        <f t="shared" ref="C731:E731" si="710">C713</f>
        <v>1</v>
      </c>
      <c r="D731" s="74">
        <f t="shared" si="710"/>
        <v>0</v>
      </c>
      <c r="E731" s="74">
        <f t="shared" si="710"/>
        <v>2</v>
      </c>
      <c r="F731" s="67" t="s">
        <v>230</v>
      </c>
      <c r="G731" s="67" t="s">
        <v>1052</v>
      </c>
      <c r="H731" s="37">
        <f t="shared" si="664"/>
        <v>728</v>
      </c>
      <c r="I731" s="37"/>
    </row>
    <row r="732" spans="1:9">
      <c r="A732" s="37" t="s">
        <v>2324</v>
      </c>
      <c r="B732" s="37" t="s">
        <v>2325</v>
      </c>
      <c r="C732" s="74">
        <f t="shared" ref="C732:E732" si="711">C714</f>
        <v>0</v>
      </c>
      <c r="D732" s="74">
        <f t="shared" si="711"/>
        <v>0</v>
      </c>
      <c r="E732" s="74">
        <f t="shared" si="711"/>
        <v>3</v>
      </c>
      <c r="F732" s="67" t="s">
        <v>230</v>
      </c>
      <c r="G732" s="67" t="s">
        <v>1052</v>
      </c>
      <c r="H732" s="37">
        <f t="shared" si="664"/>
        <v>729</v>
      </c>
      <c r="I732" s="37"/>
    </row>
    <row r="733" spans="1:9">
      <c r="A733" s="37" t="s">
        <v>2326</v>
      </c>
      <c r="B733" s="37" t="s">
        <v>2327</v>
      </c>
      <c r="C733" s="74">
        <f t="shared" ref="C733:E733" si="712">C715</f>
        <v>0</v>
      </c>
      <c r="D733" s="74">
        <f t="shared" si="712"/>
        <v>0</v>
      </c>
      <c r="E733" s="74">
        <f t="shared" si="712"/>
        <v>3</v>
      </c>
      <c r="F733" s="67" t="s">
        <v>230</v>
      </c>
      <c r="G733" s="67" t="s">
        <v>1052</v>
      </c>
      <c r="H733" s="37">
        <f t="shared" si="664"/>
        <v>730</v>
      </c>
      <c r="I733" s="37"/>
    </row>
    <row r="734" spans="1:9">
      <c r="A734" s="37" t="s">
        <v>2328</v>
      </c>
      <c r="B734" s="37" t="s">
        <v>2329</v>
      </c>
      <c r="C734" s="74">
        <f t="shared" ref="C734:E734" si="713">C716</f>
        <v>0</v>
      </c>
      <c r="D734" s="74">
        <f t="shared" si="713"/>
        <v>0</v>
      </c>
      <c r="E734" s="74">
        <f t="shared" si="713"/>
        <v>3</v>
      </c>
      <c r="F734" s="67" t="s">
        <v>230</v>
      </c>
      <c r="G734" s="67" t="s">
        <v>1052</v>
      </c>
      <c r="H734" s="37">
        <f t="shared" si="664"/>
        <v>731</v>
      </c>
      <c r="I734" s="37"/>
    </row>
    <row r="735" spans="1:9">
      <c r="A735" s="37" t="s">
        <v>2330</v>
      </c>
      <c r="B735" s="37" t="s">
        <v>2693</v>
      </c>
      <c r="C735" s="74">
        <f t="shared" ref="C735:E735" si="714">C717</f>
        <v>0</v>
      </c>
      <c r="D735" s="74">
        <f t="shared" si="714"/>
        <v>0</v>
      </c>
      <c r="E735" s="74">
        <f t="shared" si="714"/>
        <v>1</v>
      </c>
      <c r="F735" s="67" t="s">
        <v>230</v>
      </c>
      <c r="G735" s="67" t="s">
        <v>1052</v>
      </c>
      <c r="H735" s="37">
        <f t="shared" si="664"/>
        <v>732</v>
      </c>
      <c r="I735" s="37"/>
    </row>
    <row r="736" spans="1:9">
      <c r="A736" s="37" t="s">
        <v>2331</v>
      </c>
      <c r="B736" s="37" t="s">
        <v>2332</v>
      </c>
      <c r="C736" s="74">
        <f t="shared" ref="C736:E736" si="715">C718</f>
        <v>0</v>
      </c>
      <c r="D736" s="74">
        <f t="shared" si="715"/>
        <v>0</v>
      </c>
      <c r="E736" s="74">
        <f t="shared" si="715"/>
        <v>1</v>
      </c>
      <c r="F736" s="67" t="s">
        <v>230</v>
      </c>
      <c r="G736" s="67" t="s">
        <v>1052</v>
      </c>
      <c r="H736" s="37">
        <f t="shared" si="664"/>
        <v>733</v>
      </c>
      <c r="I736" s="37"/>
    </row>
    <row r="737" spans="1:9">
      <c r="A737" s="37" t="s">
        <v>2333</v>
      </c>
      <c r="B737" s="37" t="s">
        <v>2334</v>
      </c>
      <c r="C737" s="74">
        <f t="shared" ref="C737:E737" si="716">C719</f>
        <v>0</v>
      </c>
      <c r="D737" s="74">
        <f t="shared" si="716"/>
        <v>0</v>
      </c>
      <c r="E737" s="74">
        <f t="shared" si="716"/>
        <v>4</v>
      </c>
      <c r="F737" s="67" t="s">
        <v>230</v>
      </c>
      <c r="G737" s="67" t="s">
        <v>1052</v>
      </c>
      <c r="H737" s="37">
        <f t="shared" si="664"/>
        <v>734</v>
      </c>
      <c r="I737" s="37"/>
    </row>
    <row r="738" spans="1:9">
      <c r="A738" s="37" t="s">
        <v>2335</v>
      </c>
      <c r="B738" s="37" t="s">
        <v>2336</v>
      </c>
      <c r="C738" s="74" t="str">
        <f t="shared" ref="C738:E738" si="717">C720</f>
        <v>(空文字)</v>
      </c>
      <c r="D738" s="74" t="str">
        <f t="shared" si="717"/>
        <v>(空文字)</v>
      </c>
      <c r="E738" s="74" t="str">
        <f t="shared" si="717"/>
        <v>(空文字)</v>
      </c>
      <c r="F738" s="67" t="s">
        <v>230</v>
      </c>
      <c r="G738" s="67" t="s">
        <v>1052</v>
      </c>
      <c r="H738" s="37">
        <f t="shared" si="664"/>
        <v>735</v>
      </c>
      <c r="I738" s="37"/>
    </row>
    <row r="739" spans="1:9">
      <c r="A739" s="37" t="s">
        <v>2337</v>
      </c>
      <c r="B739" s="37" t="s">
        <v>2338</v>
      </c>
      <c r="C739" s="74" t="str">
        <f t="shared" ref="C739:E739" si="718">C721</f>
        <v>(空文字)</v>
      </c>
      <c r="D739" s="74" t="str">
        <f t="shared" si="718"/>
        <v>(空文字)</v>
      </c>
      <c r="E739" s="74" t="str">
        <f t="shared" si="718"/>
        <v>(空文字)</v>
      </c>
      <c r="F739" s="67" t="s">
        <v>230</v>
      </c>
      <c r="G739" s="67" t="s">
        <v>1052</v>
      </c>
      <c r="H739" s="37">
        <f t="shared" si="664"/>
        <v>736</v>
      </c>
      <c r="I739" s="37"/>
    </row>
    <row r="740" spans="1:9">
      <c r="A740" s="37" t="s">
        <v>2339</v>
      </c>
      <c r="B740" s="37" t="s">
        <v>2340</v>
      </c>
      <c r="C740" s="74">
        <f t="shared" ref="C740:E740" si="719">C722</f>
        <v>0</v>
      </c>
      <c r="D740" s="74">
        <f t="shared" si="719"/>
        <v>0</v>
      </c>
      <c r="E740" s="74">
        <f t="shared" si="719"/>
        <v>3</v>
      </c>
      <c r="F740" s="67" t="s">
        <v>230</v>
      </c>
      <c r="G740" s="67" t="s">
        <v>1052</v>
      </c>
      <c r="H740" s="37">
        <f t="shared" si="664"/>
        <v>737</v>
      </c>
      <c r="I740" s="37"/>
    </row>
    <row r="741" spans="1:9">
      <c r="A741" s="37" t="s">
        <v>3955</v>
      </c>
      <c r="B741" s="37" t="s">
        <v>4046</v>
      </c>
      <c r="C741" s="74">
        <f t="shared" ref="C741:E741" si="720">C723</f>
        <v>10000</v>
      </c>
      <c r="D741" s="74">
        <f t="shared" si="720"/>
        <v>1000</v>
      </c>
      <c r="E741" s="74">
        <f t="shared" si="720"/>
        <v>99999000</v>
      </c>
      <c r="F741" s="67" t="s">
        <v>230</v>
      </c>
      <c r="G741" s="67" t="s">
        <v>1052</v>
      </c>
      <c r="H741" s="37">
        <f t="shared" si="664"/>
        <v>738</v>
      </c>
      <c r="I741" s="37"/>
    </row>
    <row r="742" spans="1:9">
      <c r="A742" s="37" t="s">
        <v>4109</v>
      </c>
      <c r="B742" s="37" t="s">
        <v>4047</v>
      </c>
      <c r="C742" s="74">
        <f t="shared" ref="C742:E742" si="721">C724</f>
        <v>0</v>
      </c>
      <c r="D742" s="74">
        <f t="shared" si="721"/>
        <v>0</v>
      </c>
      <c r="E742" s="74">
        <f t="shared" si="721"/>
        <v>1</v>
      </c>
      <c r="F742" s="67" t="s">
        <v>230</v>
      </c>
      <c r="G742" s="67" t="s">
        <v>1052</v>
      </c>
      <c r="H742" s="37">
        <f t="shared" si="664"/>
        <v>739</v>
      </c>
      <c r="I742" s="37"/>
    </row>
    <row r="743" spans="1:9">
      <c r="A743" s="37" t="s">
        <v>2341</v>
      </c>
      <c r="B743" s="37" t="s">
        <v>2342</v>
      </c>
      <c r="C743" s="92">
        <f t="shared" si="685"/>
        <v>225</v>
      </c>
      <c r="D743" s="74">
        <f t="shared" ref="D743:E743" si="722">D725</f>
        <v>1</v>
      </c>
      <c r="E743" s="74">
        <f t="shared" si="722"/>
        <v>4096</v>
      </c>
      <c r="F743" s="67" t="s">
        <v>230</v>
      </c>
      <c r="G743" s="67" t="s">
        <v>230</v>
      </c>
      <c r="H743" s="37">
        <f t="shared" si="664"/>
        <v>740</v>
      </c>
      <c r="I743" s="37"/>
    </row>
    <row r="744" spans="1:9">
      <c r="A744" s="37" t="s">
        <v>2343</v>
      </c>
      <c r="B744" s="37" t="s">
        <v>2344</v>
      </c>
      <c r="C744" s="74" t="str">
        <f t="shared" ref="C744:E744" si="723">C726</f>
        <v>0x00000000</v>
      </c>
      <c r="D744" s="74" t="str">
        <f t="shared" si="723"/>
        <v>0x80000000</v>
      </c>
      <c r="E744" s="74" t="str">
        <f t="shared" si="723"/>
        <v>0x7fffffff</v>
      </c>
      <c r="F744" s="67" t="s">
        <v>230</v>
      </c>
      <c r="G744" s="67" t="s">
        <v>1052</v>
      </c>
      <c r="H744" s="37">
        <f t="shared" si="664"/>
        <v>741</v>
      </c>
      <c r="I744" s="37"/>
    </row>
    <row r="745" spans="1:9">
      <c r="A745" s="37" t="s">
        <v>2345</v>
      </c>
      <c r="B745" s="37" t="s">
        <v>2346</v>
      </c>
      <c r="C745" s="74">
        <f t="shared" ref="C745:E745" si="724">C727</f>
        <v>0</v>
      </c>
      <c r="D745" s="74">
        <f t="shared" si="724"/>
        <v>0</v>
      </c>
      <c r="E745" s="74">
        <f t="shared" si="724"/>
        <v>65535</v>
      </c>
      <c r="F745" s="67" t="s">
        <v>230</v>
      </c>
      <c r="G745" s="67" t="s">
        <v>1052</v>
      </c>
      <c r="H745" s="37">
        <f t="shared" si="664"/>
        <v>742</v>
      </c>
      <c r="I745" s="37"/>
    </row>
    <row r="746" spans="1:9">
      <c r="A746" s="37" t="s">
        <v>2347</v>
      </c>
      <c r="B746" s="37" t="s">
        <v>2348</v>
      </c>
      <c r="C746" s="74">
        <f t="shared" ref="C746:E746" si="725">C728</f>
        <v>1</v>
      </c>
      <c r="D746" s="74">
        <f t="shared" si="725"/>
        <v>0</v>
      </c>
      <c r="E746" s="74">
        <f t="shared" si="725"/>
        <v>1</v>
      </c>
      <c r="F746" s="67" t="s">
        <v>230</v>
      </c>
      <c r="G746" s="67" t="s">
        <v>1052</v>
      </c>
      <c r="H746" s="37">
        <f t="shared" si="664"/>
        <v>743</v>
      </c>
      <c r="I746" s="37"/>
    </row>
    <row r="747" spans="1:9">
      <c r="A747" s="37" t="s">
        <v>2349</v>
      </c>
      <c r="B747" s="37" t="s">
        <v>2350</v>
      </c>
      <c r="C747" s="74">
        <f t="shared" ref="C747:E747" si="726">C729</f>
        <v>0</v>
      </c>
      <c r="D747" s="74">
        <f t="shared" si="726"/>
        <v>0</v>
      </c>
      <c r="E747" s="74">
        <f t="shared" si="726"/>
        <v>65535</v>
      </c>
      <c r="F747" s="67" t="s">
        <v>230</v>
      </c>
      <c r="G747" s="67" t="s">
        <v>1052</v>
      </c>
      <c r="H747" s="37">
        <f t="shared" si="664"/>
        <v>744</v>
      </c>
      <c r="I747" s="37"/>
    </row>
    <row r="748" spans="1:9">
      <c r="A748" s="37" t="s">
        <v>2351</v>
      </c>
      <c r="B748" s="37" t="s">
        <v>2352</v>
      </c>
      <c r="C748" s="74">
        <f t="shared" ref="C748:E748" si="727">C730</f>
        <v>0</v>
      </c>
      <c r="D748" s="74">
        <f t="shared" si="727"/>
        <v>0</v>
      </c>
      <c r="E748" s="74">
        <f t="shared" si="727"/>
        <v>1</v>
      </c>
      <c r="F748" s="67" t="s">
        <v>230</v>
      </c>
      <c r="G748" s="67" t="s">
        <v>1052</v>
      </c>
      <c r="H748" s="37">
        <f t="shared" si="664"/>
        <v>745</v>
      </c>
      <c r="I748" s="37"/>
    </row>
    <row r="749" spans="1:9">
      <c r="A749" s="37" t="s">
        <v>2353</v>
      </c>
      <c r="B749" s="37" t="s">
        <v>2354</v>
      </c>
      <c r="C749" s="74">
        <f t="shared" ref="C749:E749" si="728">C731</f>
        <v>1</v>
      </c>
      <c r="D749" s="74">
        <f t="shared" si="728"/>
        <v>0</v>
      </c>
      <c r="E749" s="74">
        <f t="shared" si="728"/>
        <v>2</v>
      </c>
      <c r="F749" s="67" t="s">
        <v>230</v>
      </c>
      <c r="G749" s="67" t="s">
        <v>1052</v>
      </c>
      <c r="H749" s="37">
        <f t="shared" si="664"/>
        <v>746</v>
      </c>
      <c r="I749" s="37"/>
    </row>
    <row r="750" spans="1:9">
      <c r="A750" s="37" t="s">
        <v>2355</v>
      </c>
      <c r="B750" s="37" t="s">
        <v>2356</v>
      </c>
      <c r="C750" s="74">
        <f t="shared" ref="C750:E750" si="729">C732</f>
        <v>0</v>
      </c>
      <c r="D750" s="74">
        <f t="shared" si="729"/>
        <v>0</v>
      </c>
      <c r="E750" s="74">
        <f t="shared" si="729"/>
        <v>3</v>
      </c>
      <c r="F750" s="67" t="s">
        <v>230</v>
      </c>
      <c r="G750" s="67" t="s">
        <v>1052</v>
      </c>
      <c r="H750" s="37">
        <f t="shared" ref="H750:H813" si="730">ROW()-3</f>
        <v>747</v>
      </c>
      <c r="I750" s="37"/>
    </row>
    <row r="751" spans="1:9">
      <c r="A751" s="37" t="s">
        <v>2357</v>
      </c>
      <c r="B751" s="37" t="s">
        <v>2358</v>
      </c>
      <c r="C751" s="74">
        <f t="shared" ref="C751:E752" si="731">C733</f>
        <v>0</v>
      </c>
      <c r="D751" s="74">
        <f t="shared" si="731"/>
        <v>0</v>
      </c>
      <c r="E751" s="74">
        <f t="shared" si="731"/>
        <v>3</v>
      </c>
      <c r="F751" s="67" t="s">
        <v>230</v>
      </c>
      <c r="G751" s="67" t="s">
        <v>1052</v>
      </c>
      <c r="H751" s="37">
        <f t="shared" si="730"/>
        <v>748</v>
      </c>
      <c r="I751" s="37"/>
    </row>
    <row r="752" spans="1:9">
      <c r="A752" s="30" t="s">
        <v>4277</v>
      </c>
      <c r="B752" s="30" t="s">
        <v>4278</v>
      </c>
      <c r="C752" s="3">
        <f t="shared" si="731"/>
        <v>0</v>
      </c>
      <c r="D752" s="3">
        <f t="shared" si="731"/>
        <v>0</v>
      </c>
      <c r="E752" s="3">
        <f t="shared" si="731"/>
        <v>3</v>
      </c>
      <c r="F752" s="2" t="s">
        <v>230</v>
      </c>
      <c r="G752" s="2" t="s">
        <v>1052</v>
      </c>
      <c r="H752" s="30">
        <f t="shared" si="730"/>
        <v>749</v>
      </c>
      <c r="I752" s="37"/>
    </row>
    <row r="753" spans="1:9">
      <c r="A753" s="37" t="s">
        <v>2359</v>
      </c>
      <c r="B753" s="37" t="s">
        <v>2694</v>
      </c>
      <c r="C753" s="74">
        <f t="shared" ref="C753:E753" si="732">C735</f>
        <v>0</v>
      </c>
      <c r="D753" s="74">
        <f t="shared" si="732"/>
        <v>0</v>
      </c>
      <c r="E753" s="74">
        <f t="shared" si="732"/>
        <v>1</v>
      </c>
      <c r="F753" s="67" t="s">
        <v>230</v>
      </c>
      <c r="G753" s="67" t="s">
        <v>1052</v>
      </c>
      <c r="H753" s="37">
        <f t="shared" si="730"/>
        <v>750</v>
      </c>
      <c r="I753" s="37"/>
    </row>
    <row r="754" spans="1:9">
      <c r="A754" s="37" t="s">
        <v>2360</v>
      </c>
      <c r="B754" s="37" t="s">
        <v>2361</v>
      </c>
      <c r="C754" s="74">
        <f t="shared" ref="C754:E754" si="733">C736</f>
        <v>0</v>
      </c>
      <c r="D754" s="74">
        <f t="shared" si="733"/>
        <v>0</v>
      </c>
      <c r="E754" s="74">
        <f t="shared" si="733"/>
        <v>1</v>
      </c>
      <c r="F754" s="67" t="s">
        <v>230</v>
      </c>
      <c r="G754" s="67" t="s">
        <v>1052</v>
      </c>
      <c r="H754" s="37">
        <f t="shared" si="730"/>
        <v>751</v>
      </c>
      <c r="I754" s="37"/>
    </row>
    <row r="755" spans="1:9">
      <c r="A755" s="37" t="s">
        <v>2362</v>
      </c>
      <c r="B755" s="37" t="s">
        <v>2363</v>
      </c>
      <c r="C755" s="74">
        <f t="shared" ref="C755:E755" si="734">C737</f>
        <v>0</v>
      </c>
      <c r="D755" s="74">
        <f t="shared" si="734"/>
        <v>0</v>
      </c>
      <c r="E755" s="74">
        <f t="shared" si="734"/>
        <v>4</v>
      </c>
      <c r="F755" s="67" t="s">
        <v>230</v>
      </c>
      <c r="G755" s="67" t="s">
        <v>1052</v>
      </c>
      <c r="H755" s="37">
        <f t="shared" si="730"/>
        <v>752</v>
      </c>
      <c r="I755" s="37"/>
    </row>
    <row r="756" spans="1:9">
      <c r="A756" s="37" t="s">
        <v>2364</v>
      </c>
      <c r="B756" s="37" t="s">
        <v>2365</v>
      </c>
      <c r="C756" s="74" t="str">
        <f t="shared" ref="C756:E756" si="735">C738</f>
        <v>(空文字)</v>
      </c>
      <c r="D756" s="74" t="str">
        <f t="shared" si="735"/>
        <v>(空文字)</v>
      </c>
      <c r="E756" s="74" t="str">
        <f t="shared" si="735"/>
        <v>(空文字)</v>
      </c>
      <c r="F756" s="67" t="s">
        <v>230</v>
      </c>
      <c r="G756" s="67" t="s">
        <v>1052</v>
      </c>
      <c r="H756" s="37">
        <f t="shared" si="730"/>
        <v>753</v>
      </c>
      <c r="I756" s="37"/>
    </row>
    <row r="757" spans="1:9">
      <c r="A757" s="37" t="s">
        <v>2366</v>
      </c>
      <c r="B757" s="37" t="s">
        <v>2367</v>
      </c>
      <c r="C757" s="74" t="str">
        <f t="shared" ref="C757:E757" si="736">C739</f>
        <v>(空文字)</v>
      </c>
      <c r="D757" s="74" t="str">
        <f t="shared" si="736"/>
        <v>(空文字)</v>
      </c>
      <c r="E757" s="74" t="str">
        <f t="shared" si="736"/>
        <v>(空文字)</v>
      </c>
      <c r="F757" s="67" t="s">
        <v>230</v>
      </c>
      <c r="G757" s="67" t="s">
        <v>1052</v>
      </c>
      <c r="H757" s="37">
        <f t="shared" si="730"/>
        <v>754</v>
      </c>
      <c r="I757" s="37"/>
    </row>
    <row r="758" spans="1:9">
      <c r="A758" s="37" t="s">
        <v>2368</v>
      </c>
      <c r="B758" s="37" t="s">
        <v>2369</v>
      </c>
      <c r="C758" s="74">
        <f t="shared" ref="C758:E758" si="737">C740</f>
        <v>0</v>
      </c>
      <c r="D758" s="74">
        <f t="shared" si="737"/>
        <v>0</v>
      </c>
      <c r="E758" s="74">
        <f t="shared" si="737"/>
        <v>3</v>
      </c>
      <c r="F758" s="67" t="s">
        <v>230</v>
      </c>
      <c r="G758" s="67" t="s">
        <v>1052</v>
      </c>
      <c r="H758" s="37">
        <f t="shared" si="730"/>
        <v>755</v>
      </c>
      <c r="I758" s="37"/>
    </row>
    <row r="759" spans="1:9">
      <c r="A759" s="30" t="s">
        <v>3956</v>
      </c>
      <c r="B759" s="30" t="s">
        <v>4048</v>
      </c>
      <c r="C759" s="3">
        <f t="shared" ref="C759:E759" si="738">C741</f>
        <v>10000</v>
      </c>
      <c r="D759" s="3">
        <f t="shared" si="738"/>
        <v>1000</v>
      </c>
      <c r="E759" s="3">
        <f t="shared" si="738"/>
        <v>99999000</v>
      </c>
      <c r="F759" s="2" t="s">
        <v>230</v>
      </c>
      <c r="G759" s="2" t="s">
        <v>1052</v>
      </c>
      <c r="H759" s="30">
        <f t="shared" si="730"/>
        <v>756</v>
      </c>
      <c r="I759" s="30"/>
    </row>
    <row r="760" spans="1:9">
      <c r="A760" s="30" t="s">
        <v>4110</v>
      </c>
      <c r="B760" s="30" t="s">
        <v>4049</v>
      </c>
      <c r="C760" s="3">
        <f t="shared" ref="C760:E760" si="739">C742</f>
        <v>0</v>
      </c>
      <c r="D760" s="3">
        <f t="shared" si="739"/>
        <v>0</v>
      </c>
      <c r="E760" s="3">
        <f t="shared" si="739"/>
        <v>1</v>
      </c>
      <c r="F760" s="2" t="s">
        <v>230</v>
      </c>
      <c r="G760" s="2" t="s">
        <v>1052</v>
      </c>
      <c r="H760" s="30">
        <f t="shared" si="730"/>
        <v>757</v>
      </c>
      <c r="I760" s="30"/>
    </row>
    <row r="761" spans="1:9">
      <c r="A761" s="30" t="s">
        <v>2370</v>
      </c>
      <c r="B761" s="30" t="s">
        <v>2371</v>
      </c>
      <c r="C761" s="62">
        <f t="shared" si="685"/>
        <v>226</v>
      </c>
      <c r="D761" s="3">
        <f t="shared" ref="D761:E761" si="740">D743</f>
        <v>1</v>
      </c>
      <c r="E761" s="3">
        <f t="shared" si="740"/>
        <v>4096</v>
      </c>
      <c r="F761" s="2" t="s">
        <v>230</v>
      </c>
      <c r="G761" s="2" t="s">
        <v>230</v>
      </c>
      <c r="H761" s="30">
        <f t="shared" si="730"/>
        <v>758</v>
      </c>
      <c r="I761" s="30"/>
    </row>
    <row r="762" spans="1:9">
      <c r="A762" s="30" t="s">
        <v>2372</v>
      </c>
      <c r="B762" s="30" t="s">
        <v>2373</v>
      </c>
      <c r="C762" s="3" t="str">
        <f t="shared" ref="C762:E762" si="741">C744</f>
        <v>0x00000000</v>
      </c>
      <c r="D762" s="3" t="str">
        <f t="shared" si="741"/>
        <v>0x80000000</v>
      </c>
      <c r="E762" s="3" t="str">
        <f t="shared" si="741"/>
        <v>0x7fffffff</v>
      </c>
      <c r="F762" s="2" t="s">
        <v>230</v>
      </c>
      <c r="G762" s="2" t="s">
        <v>1052</v>
      </c>
      <c r="H762" s="30">
        <f t="shared" si="730"/>
        <v>759</v>
      </c>
      <c r="I762" s="30"/>
    </row>
    <row r="763" spans="1:9">
      <c r="A763" s="30" t="s">
        <v>2374</v>
      </c>
      <c r="B763" s="30" t="s">
        <v>2375</v>
      </c>
      <c r="C763" s="3">
        <f t="shared" ref="C763:E763" si="742">C745</f>
        <v>0</v>
      </c>
      <c r="D763" s="3">
        <f t="shared" si="742"/>
        <v>0</v>
      </c>
      <c r="E763" s="3">
        <f t="shared" si="742"/>
        <v>65535</v>
      </c>
      <c r="F763" s="2" t="s">
        <v>230</v>
      </c>
      <c r="G763" s="2" t="s">
        <v>1052</v>
      </c>
      <c r="H763" s="30">
        <f t="shared" si="730"/>
        <v>760</v>
      </c>
      <c r="I763" s="30"/>
    </row>
    <row r="764" spans="1:9">
      <c r="A764" s="30" t="s">
        <v>2376</v>
      </c>
      <c r="B764" s="30" t="s">
        <v>2377</v>
      </c>
      <c r="C764" s="3">
        <f t="shared" ref="C764:E764" si="743">C746</f>
        <v>1</v>
      </c>
      <c r="D764" s="3">
        <f t="shared" si="743"/>
        <v>0</v>
      </c>
      <c r="E764" s="3">
        <f t="shared" si="743"/>
        <v>1</v>
      </c>
      <c r="F764" s="2" t="s">
        <v>230</v>
      </c>
      <c r="G764" s="2" t="s">
        <v>1052</v>
      </c>
      <c r="H764" s="30">
        <f t="shared" si="730"/>
        <v>761</v>
      </c>
      <c r="I764" s="30"/>
    </row>
    <row r="765" spans="1:9">
      <c r="A765" s="30" t="s">
        <v>2378</v>
      </c>
      <c r="B765" s="30" t="s">
        <v>2379</v>
      </c>
      <c r="C765" s="3">
        <f t="shared" ref="C765:E765" si="744">C747</f>
        <v>0</v>
      </c>
      <c r="D765" s="3">
        <f t="shared" si="744"/>
        <v>0</v>
      </c>
      <c r="E765" s="3">
        <f t="shared" si="744"/>
        <v>65535</v>
      </c>
      <c r="F765" s="2" t="s">
        <v>230</v>
      </c>
      <c r="G765" s="2" t="s">
        <v>1052</v>
      </c>
      <c r="H765" s="30">
        <f t="shared" si="730"/>
        <v>762</v>
      </c>
      <c r="I765" s="30"/>
    </row>
    <row r="766" spans="1:9">
      <c r="A766" s="30" t="s">
        <v>2380</v>
      </c>
      <c r="B766" s="30" t="s">
        <v>2381</v>
      </c>
      <c r="C766" s="3">
        <f t="shared" ref="C766:E766" si="745">C748</f>
        <v>0</v>
      </c>
      <c r="D766" s="3">
        <f t="shared" si="745"/>
        <v>0</v>
      </c>
      <c r="E766" s="3">
        <f t="shared" si="745"/>
        <v>1</v>
      </c>
      <c r="F766" s="2" t="s">
        <v>230</v>
      </c>
      <c r="G766" s="2" t="s">
        <v>1052</v>
      </c>
      <c r="H766" s="30">
        <f t="shared" si="730"/>
        <v>763</v>
      </c>
      <c r="I766" s="30"/>
    </row>
    <row r="767" spans="1:9">
      <c r="A767" s="30" t="s">
        <v>2382</v>
      </c>
      <c r="B767" s="30" t="s">
        <v>2383</v>
      </c>
      <c r="C767" s="3">
        <f t="shared" ref="C767:E767" si="746">C749</f>
        <v>1</v>
      </c>
      <c r="D767" s="3">
        <f t="shared" si="746"/>
        <v>0</v>
      </c>
      <c r="E767" s="3">
        <f t="shared" si="746"/>
        <v>2</v>
      </c>
      <c r="F767" s="2" t="s">
        <v>230</v>
      </c>
      <c r="G767" s="2" t="s">
        <v>1052</v>
      </c>
      <c r="H767" s="30">
        <f t="shared" si="730"/>
        <v>764</v>
      </c>
      <c r="I767" s="30"/>
    </row>
    <row r="768" spans="1:9">
      <c r="A768" s="30" t="s">
        <v>2384</v>
      </c>
      <c r="B768" s="30" t="s">
        <v>2385</v>
      </c>
      <c r="C768" s="3">
        <f t="shared" ref="C768:E768" si="747">C750</f>
        <v>0</v>
      </c>
      <c r="D768" s="3">
        <f t="shared" si="747"/>
        <v>0</v>
      </c>
      <c r="E768" s="3">
        <f t="shared" si="747"/>
        <v>3</v>
      </c>
      <c r="F768" s="2" t="s">
        <v>230</v>
      </c>
      <c r="G768" s="2" t="s">
        <v>1052</v>
      </c>
      <c r="H768" s="30">
        <f t="shared" si="730"/>
        <v>765</v>
      </c>
      <c r="I768" s="30"/>
    </row>
    <row r="769" spans="1:9">
      <c r="A769" s="30" t="s">
        <v>2386</v>
      </c>
      <c r="B769" s="30" t="s">
        <v>2387</v>
      </c>
      <c r="C769" s="3">
        <f t="shared" ref="C769:E769" si="748">C751</f>
        <v>0</v>
      </c>
      <c r="D769" s="3">
        <f t="shared" si="748"/>
        <v>0</v>
      </c>
      <c r="E769" s="3">
        <f t="shared" si="748"/>
        <v>3</v>
      </c>
      <c r="F769" s="2" t="s">
        <v>230</v>
      </c>
      <c r="G769" s="2" t="s">
        <v>1052</v>
      </c>
      <c r="H769" s="30">
        <f t="shared" si="730"/>
        <v>766</v>
      </c>
      <c r="I769" s="30"/>
    </row>
    <row r="770" spans="1:9">
      <c r="A770" s="30" t="s">
        <v>2388</v>
      </c>
      <c r="B770" s="30" t="s">
        <v>2389</v>
      </c>
      <c r="C770" s="3">
        <f t="shared" ref="C770:E770" si="749">C752</f>
        <v>0</v>
      </c>
      <c r="D770" s="3">
        <f t="shared" si="749"/>
        <v>0</v>
      </c>
      <c r="E770" s="3">
        <f t="shared" si="749"/>
        <v>3</v>
      </c>
      <c r="F770" s="2" t="s">
        <v>230</v>
      </c>
      <c r="G770" s="2" t="s">
        <v>1052</v>
      </c>
      <c r="H770" s="30">
        <f t="shared" si="730"/>
        <v>767</v>
      </c>
      <c r="I770" s="30"/>
    </row>
    <row r="771" spans="1:9">
      <c r="A771" s="30" t="s">
        <v>2390</v>
      </c>
      <c r="B771" s="30" t="s">
        <v>2695</v>
      </c>
      <c r="C771" s="3">
        <f t="shared" ref="C771:E771" si="750">C753</f>
        <v>0</v>
      </c>
      <c r="D771" s="3">
        <f t="shared" si="750"/>
        <v>0</v>
      </c>
      <c r="E771" s="3">
        <f t="shared" si="750"/>
        <v>1</v>
      </c>
      <c r="F771" s="2" t="s">
        <v>230</v>
      </c>
      <c r="G771" s="2" t="s">
        <v>1052</v>
      </c>
      <c r="H771" s="30">
        <f t="shared" si="730"/>
        <v>768</v>
      </c>
      <c r="I771" s="30"/>
    </row>
    <row r="772" spans="1:9">
      <c r="A772" s="30" t="s">
        <v>2391</v>
      </c>
      <c r="B772" s="30" t="s">
        <v>2392</v>
      </c>
      <c r="C772" s="3">
        <f t="shared" ref="C772:E772" si="751">C754</f>
        <v>0</v>
      </c>
      <c r="D772" s="3">
        <f t="shared" si="751"/>
        <v>0</v>
      </c>
      <c r="E772" s="3">
        <f t="shared" si="751"/>
        <v>1</v>
      </c>
      <c r="F772" s="2" t="s">
        <v>230</v>
      </c>
      <c r="G772" s="2" t="s">
        <v>1052</v>
      </c>
      <c r="H772" s="30">
        <f t="shared" si="730"/>
        <v>769</v>
      </c>
      <c r="I772" s="30"/>
    </row>
    <row r="773" spans="1:9">
      <c r="A773" s="30" t="s">
        <v>2393</v>
      </c>
      <c r="B773" s="30" t="s">
        <v>2394</v>
      </c>
      <c r="C773" s="3">
        <f t="shared" ref="C773:E773" si="752">C755</f>
        <v>0</v>
      </c>
      <c r="D773" s="3">
        <f t="shared" si="752"/>
        <v>0</v>
      </c>
      <c r="E773" s="3">
        <f t="shared" si="752"/>
        <v>4</v>
      </c>
      <c r="F773" s="2" t="s">
        <v>230</v>
      </c>
      <c r="G773" s="2" t="s">
        <v>1052</v>
      </c>
      <c r="H773" s="30">
        <f t="shared" si="730"/>
        <v>770</v>
      </c>
      <c r="I773" s="30"/>
    </row>
    <row r="774" spans="1:9">
      <c r="A774" s="30" t="s">
        <v>2395</v>
      </c>
      <c r="B774" s="30" t="s">
        <v>2396</v>
      </c>
      <c r="C774" s="3" t="str">
        <f t="shared" ref="C774:E774" si="753">C756</f>
        <v>(空文字)</v>
      </c>
      <c r="D774" s="3" t="str">
        <f t="shared" si="753"/>
        <v>(空文字)</v>
      </c>
      <c r="E774" s="3" t="str">
        <f t="shared" si="753"/>
        <v>(空文字)</v>
      </c>
      <c r="F774" s="2" t="s">
        <v>230</v>
      </c>
      <c r="G774" s="2" t="s">
        <v>1052</v>
      </c>
      <c r="H774" s="30">
        <f t="shared" si="730"/>
        <v>771</v>
      </c>
      <c r="I774" s="30"/>
    </row>
    <row r="775" spans="1:9">
      <c r="A775" s="30" t="s">
        <v>2397</v>
      </c>
      <c r="B775" s="30" t="s">
        <v>2398</v>
      </c>
      <c r="C775" s="3" t="str">
        <f t="shared" ref="C775:E775" si="754">C757</f>
        <v>(空文字)</v>
      </c>
      <c r="D775" s="3" t="str">
        <f t="shared" si="754"/>
        <v>(空文字)</v>
      </c>
      <c r="E775" s="3" t="str">
        <f t="shared" si="754"/>
        <v>(空文字)</v>
      </c>
      <c r="F775" s="2" t="s">
        <v>230</v>
      </c>
      <c r="G775" s="2" t="s">
        <v>1052</v>
      </c>
      <c r="H775" s="30">
        <f t="shared" si="730"/>
        <v>772</v>
      </c>
      <c r="I775" s="30"/>
    </row>
    <row r="776" spans="1:9">
      <c r="A776" s="30" t="s">
        <v>2399</v>
      </c>
      <c r="B776" s="30" t="s">
        <v>2400</v>
      </c>
      <c r="C776" s="3">
        <f t="shared" ref="C776:E776" si="755">C758</f>
        <v>0</v>
      </c>
      <c r="D776" s="3">
        <f t="shared" si="755"/>
        <v>0</v>
      </c>
      <c r="E776" s="3">
        <f t="shared" si="755"/>
        <v>3</v>
      </c>
      <c r="F776" s="2" t="s">
        <v>230</v>
      </c>
      <c r="G776" s="2" t="s">
        <v>1052</v>
      </c>
      <c r="H776" s="30">
        <f t="shared" si="730"/>
        <v>773</v>
      </c>
      <c r="I776" s="30"/>
    </row>
    <row r="777" spans="1:9">
      <c r="A777" s="30" t="s">
        <v>3957</v>
      </c>
      <c r="B777" s="30" t="s">
        <v>4050</v>
      </c>
      <c r="C777" s="3">
        <f t="shared" ref="C777:E777" si="756">C759</f>
        <v>10000</v>
      </c>
      <c r="D777" s="3">
        <f t="shared" si="756"/>
        <v>1000</v>
      </c>
      <c r="E777" s="3">
        <f t="shared" si="756"/>
        <v>99999000</v>
      </c>
      <c r="F777" s="2" t="s">
        <v>230</v>
      </c>
      <c r="G777" s="2" t="s">
        <v>1052</v>
      </c>
      <c r="H777" s="30">
        <f t="shared" si="730"/>
        <v>774</v>
      </c>
      <c r="I777" s="30"/>
    </row>
    <row r="778" spans="1:9">
      <c r="A778" s="30" t="s">
        <v>4111</v>
      </c>
      <c r="B778" s="30" t="s">
        <v>4051</v>
      </c>
      <c r="C778" s="3">
        <f t="shared" ref="C778:E778" si="757">C760</f>
        <v>0</v>
      </c>
      <c r="D778" s="3">
        <f t="shared" si="757"/>
        <v>0</v>
      </c>
      <c r="E778" s="3">
        <f t="shared" si="757"/>
        <v>1</v>
      </c>
      <c r="F778" s="2" t="s">
        <v>230</v>
      </c>
      <c r="G778" s="2" t="s">
        <v>1052</v>
      </c>
      <c r="H778" s="30">
        <f t="shared" si="730"/>
        <v>775</v>
      </c>
      <c r="I778" s="30"/>
    </row>
    <row r="779" spans="1:9">
      <c r="A779" s="30" t="s">
        <v>2401</v>
      </c>
      <c r="B779" s="30" t="s">
        <v>2402</v>
      </c>
      <c r="C779" s="62">
        <f t="shared" ref="C779:C833" si="758">C761+1</f>
        <v>227</v>
      </c>
      <c r="D779" s="3">
        <f t="shared" ref="D779:E779" si="759">D761</f>
        <v>1</v>
      </c>
      <c r="E779" s="3">
        <f t="shared" si="759"/>
        <v>4096</v>
      </c>
      <c r="F779" s="2" t="s">
        <v>230</v>
      </c>
      <c r="G779" s="2" t="s">
        <v>230</v>
      </c>
      <c r="H779" s="30">
        <f t="shared" si="730"/>
        <v>776</v>
      </c>
      <c r="I779" s="30"/>
    </row>
    <row r="780" spans="1:9">
      <c r="A780" s="30" t="s">
        <v>2403</v>
      </c>
      <c r="B780" s="30" t="s">
        <v>2404</v>
      </c>
      <c r="C780" s="3" t="str">
        <f t="shared" ref="C780:E780" si="760">C762</f>
        <v>0x00000000</v>
      </c>
      <c r="D780" s="3" t="str">
        <f t="shared" si="760"/>
        <v>0x80000000</v>
      </c>
      <c r="E780" s="3" t="str">
        <f t="shared" si="760"/>
        <v>0x7fffffff</v>
      </c>
      <c r="F780" s="2" t="s">
        <v>230</v>
      </c>
      <c r="G780" s="2" t="s">
        <v>1052</v>
      </c>
      <c r="H780" s="30">
        <f t="shared" si="730"/>
        <v>777</v>
      </c>
      <c r="I780" s="30"/>
    </row>
    <row r="781" spans="1:9">
      <c r="A781" s="30" t="s">
        <v>2405</v>
      </c>
      <c r="B781" s="30" t="s">
        <v>2406</v>
      </c>
      <c r="C781" s="3">
        <f t="shared" ref="C781:E781" si="761">C763</f>
        <v>0</v>
      </c>
      <c r="D781" s="3">
        <f t="shared" si="761"/>
        <v>0</v>
      </c>
      <c r="E781" s="3">
        <f t="shared" si="761"/>
        <v>65535</v>
      </c>
      <c r="F781" s="2" t="s">
        <v>230</v>
      </c>
      <c r="G781" s="2" t="s">
        <v>1052</v>
      </c>
      <c r="H781" s="30">
        <f t="shared" si="730"/>
        <v>778</v>
      </c>
      <c r="I781" s="30"/>
    </row>
    <row r="782" spans="1:9">
      <c r="A782" s="30" t="s">
        <v>2407</v>
      </c>
      <c r="B782" s="30" t="s">
        <v>2408</v>
      </c>
      <c r="C782" s="3">
        <f t="shared" ref="C782:E782" si="762">C764</f>
        <v>1</v>
      </c>
      <c r="D782" s="3">
        <f t="shared" si="762"/>
        <v>0</v>
      </c>
      <c r="E782" s="3">
        <f t="shared" si="762"/>
        <v>1</v>
      </c>
      <c r="F782" s="2" t="s">
        <v>230</v>
      </c>
      <c r="G782" s="2" t="s">
        <v>1052</v>
      </c>
      <c r="H782" s="30">
        <f t="shared" si="730"/>
        <v>779</v>
      </c>
      <c r="I782" s="30"/>
    </row>
    <row r="783" spans="1:9">
      <c r="A783" s="30" t="s">
        <v>2409</v>
      </c>
      <c r="B783" s="30" t="s">
        <v>2410</v>
      </c>
      <c r="C783" s="3">
        <f t="shared" ref="C783:E783" si="763">C765</f>
        <v>0</v>
      </c>
      <c r="D783" s="3">
        <f t="shared" si="763"/>
        <v>0</v>
      </c>
      <c r="E783" s="3">
        <f t="shared" si="763"/>
        <v>65535</v>
      </c>
      <c r="F783" s="2" t="s">
        <v>230</v>
      </c>
      <c r="G783" s="2" t="s">
        <v>1052</v>
      </c>
      <c r="H783" s="30">
        <f t="shared" si="730"/>
        <v>780</v>
      </c>
      <c r="I783" s="30"/>
    </row>
    <row r="784" spans="1:9">
      <c r="A784" s="30" t="s">
        <v>2411</v>
      </c>
      <c r="B784" s="30" t="s">
        <v>2412</v>
      </c>
      <c r="C784" s="3">
        <f t="shared" ref="C784:E784" si="764">C766</f>
        <v>0</v>
      </c>
      <c r="D784" s="3">
        <f t="shared" si="764"/>
        <v>0</v>
      </c>
      <c r="E784" s="3">
        <f t="shared" si="764"/>
        <v>1</v>
      </c>
      <c r="F784" s="2" t="s">
        <v>230</v>
      </c>
      <c r="G784" s="2" t="s">
        <v>1052</v>
      </c>
      <c r="H784" s="30">
        <f t="shared" si="730"/>
        <v>781</v>
      </c>
      <c r="I784" s="30"/>
    </row>
    <row r="785" spans="1:9">
      <c r="A785" s="30" t="s">
        <v>2413</v>
      </c>
      <c r="B785" s="30" t="s">
        <v>2414</v>
      </c>
      <c r="C785" s="3">
        <f t="shared" ref="C785:E785" si="765">C767</f>
        <v>1</v>
      </c>
      <c r="D785" s="3">
        <f t="shared" si="765"/>
        <v>0</v>
      </c>
      <c r="E785" s="3">
        <f t="shared" si="765"/>
        <v>2</v>
      </c>
      <c r="F785" s="2" t="s">
        <v>230</v>
      </c>
      <c r="G785" s="2" t="s">
        <v>1052</v>
      </c>
      <c r="H785" s="30">
        <f t="shared" si="730"/>
        <v>782</v>
      </c>
      <c r="I785" s="30"/>
    </row>
    <row r="786" spans="1:9">
      <c r="A786" s="30" t="s">
        <v>2415</v>
      </c>
      <c r="B786" s="30" t="s">
        <v>2416</v>
      </c>
      <c r="C786" s="3">
        <f t="shared" ref="C786:E786" si="766">C768</f>
        <v>0</v>
      </c>
      <c r="D786" s="3">
        <f t="shared" si="766"/>
        <v>0</v>
      </c>
      <c r="E786" s="3">
        <f t="shared" si="766"/>
        <v>3</v>
      </c>
      <c r="F786" s="2" t="s">
        <v>230</v>
      </c>
      <c r="G786" s="2" t="s">
        <v>1052</v>
      </c>
      <c r="H786" s="30">
        <f t="shared" si="730"/>
        <v>783</v>
      </c>
      <c r="I786" s="30"/>
    </row>
    <row r="787" spans="1:9">
      <c r="A787" s="30" t="s">
        <v>2417</v>
      </c>
      <c r="B787" s="30" t="s">
        <v>2418</v>
      </c>
      <c r="C787" s="3">
        <f t="shared" ref="C787:E787" si="767">C769</f>
        <v>0</v>
      </c>
      <c r="D787" s="3">
        <f t="shared" si="767"/>
        <v>0</v>
      </c>
      <c r="E787" s="3">
        <f t="shared" si="767"/>
        <v>3</v>
      </c>
      <c r="F787" s="2" t="s">
        <v>230</v>
      </c>
      <c r="G787" s="2" t="s">
        <v>1052</v>
      </c>
      <c r="H787" s="30">
        <f t="shared" si="730"/>
        <v>784</v>
      </c>
      <c r="I787" s="30"/>
    </row>
    <row r="788" spans="1:9">
      <c r="A788" s="30" t="s">
        <v>2419</v>
      </c>
      <c r="B788" s="30" t="s">
        <v>2420</v>
      </c>
      <c r="C788" s="3">
        <f t="shared" ref="C788:E788" si="768">C770</f>
        <v>0</v>
      </c>
      <c r="D788" s="3">
        <f t="shared" si="768"/>
        <v>0</v>
      </c>
      <c r="E788" s="3">
        <f t="shared" si="768"/>
        <v>3</v>
      </c>
      <c r="F788" s="2" t="s">
        <v>230</v>
      </c>
      <c r="G788" s="2" t="s">
        <v>1052</v>
      </c>
      <c r="H788" s="30">
        <f t="shared" si="730"/>
        <v>785</v>
      </c>
      <c r="I788" s="30"/>
    </row>
    <row r="789" spans="1:9">
      <c r="A789" s="30" t="s">
        <v>2421</v>
      </c>
      <c r="B789" s="30" t="s">
        <v>2696</v>
      </c>
      <c r="C789" s="3">
        <f t="shared" ref="C789:E789" si="769">C771</f>
        <v>0</v>
      </c>
      <c r="D789" s="3">
        <f t="shared" si="769"/>
        <v>0</v>
      </c>
      <c r="E789" s="3">
        <f t="shared" si="769"/>
        <v>1</v>
      </c>
      <c r="F789" s="2" t="s">
        <v>230</v>
      </c>
      <c r="G789" s="2" t="s">
        <v>1052</v>
      </c>
      <c r="H789" s="30">
        <f t="shared" si="730"/>
        <v>786</v>
      </c>
      <c r="I789" s="30"/>
    </row>
    <row r="790" spans="1:9">
      <c r="A790" s="30" t="s">
        <v>2422</v>
      </c>
      <c r="B790" s="30" t="s">
        <v>2423</v>
      </c>
      <c r="C790" s="3">
        <f t="shared" ref="C790:E790" si="770">C772</f>
        <v>0</v>
      </c>
      <c r="D790" s="3">
        <f t="shared" si="770"/>
        <v>0</v>
      </c>
      <c r="E790" s="3">
        <f t="shared" si="770"/>
        <v>1</v>
      </c>
      <c r="F790" s="2" t="s">
        <v>230</v>
      </c>
      <c r="G790" s="2" t="s">
        <v>1052</v>
      </c>
      <c r="H790" s="30">
        <f t="shared" si="730"/>
        <v>787</v>
      </c>
      <c r="I790" s="30"/>
    </row>
    <row r="791" spans="1:9">
      <c r="A791" s="30" t="s">
        <v>2424</v>
      </c>
      <c r="B791" s="30" t="s">
        <v>2425</v>
      </c>
      <c r="C791" s="3">
        <f t="shared" ref="C791:E791" si="771">C773</f>
        <v>0</v>
      </c>
      <c r="D791" s="3">
        <f t="shared" si="771"/>
        <v>0</v>
      </c>
      <c r="E791" s="3">
        <f t="shared" si="771"/>
        <v>4</v>
      </c>
      <c r="F791" s="2" t="s">
        <v>230</v>
      </c>
      <c r="G791" s="2" t="s">
        <v>1052</v>
      </c>
      <c r="H791" s="30">
        <f t="shared" si="730"/>
        <v>788</v>
      </c>
      <c r="I791" s="30"/>
    </row>
    <row r="792" spans="1:9">
      <c r="A792" s="30" t="s">
        <v>2426</v>
      </c>
      <c r="B792" s="30" t="s">
        <v>2427</v>
      </c>
      <c r="C792" s="3" t="str">
        <f t="shared" ref="C792:E792" si="772">C774</f>
        <v>(空文字)</v>
      </c>
      <c r="D792" s="3" t="str">
        <f t="shared" si="772"/>
        <v>(空文字)</v>
      </c>
      <c r="E792" s="3" t="str">
        <f t="shared" si="772"/>
        <v>(空文字)</v>
      </c>
      <c r="F792" s="2" t="s">
        <v>230</v>
      </c>
      <c r="G792" s="2" t="s">
        <v>1052</v>
      </c>
      <c r="H792" s="30">
        <f t="shared" si="730"/>
        <v>789</v>
      </c>
      <c r="I792" s="30"/>
    </row>
    <row r="793" spans="1:9">
      <c r="A793" s="30" t="s">
        <v>2428</v>
      </c>
      <c r="B793" s="30" t="s">
        <v>2429</v>
      </c>
      <c r="C793" s="3" t="str">
        <f t="shared" ref="C793:E793" si="773">C775</f>
        <v>(空文字)</v>
      </c>
      <c r="D793" s="3" t="str">
        <f t="shared" si="773"/>
        <v>(空文字)</v>
      </c>
      <c r="E793" s="3" t="str">
        <f t="shared" si="773"/>
        <v>(空文字)</v>
      </c>
      <c r="F793" s="2" t="s">
        <v>230</v>
      </c>
      <c r="G793" s="2" t="s">
        <v>1052</v>
      </c>
      <c r="H793" s="30">
        <f t="shared" si="730"/>
        <v>790</v>
      </c>
      <c r="I793" s="30"/>
    </row>
    <row r="794" spans="1:9">
      <c r="A794" s="30" t="s">
        <v>2430</v>
      </c>
      <c r="B794" s="30" t="s">
        <v>2431</v>
      </c>
      <c r="C794" s="3">
        <f t="shared" ref="C794:E794" si="774">C776</f>
        <v>0</v>
      </c>
      <c r="D794" s="3">
        <f t="shared" si="774"/>
        <v>0</v>
      </c>
      <c r="E794" s="3">
        <f t="shared" si="774"/>
        <v>3</v>
      </c>
      <c r="F794" s="2" t="s">
        <v>230</v>
      </c>
      <c r="G794" s="2" t="s">
        <v>1052</v>
      </c>
      <c r="H794" s="30">
        <f t="shared" si="730"/>
        <v>791</v>
      </c>
      <c r="I794" s="30"/>
    </row>
    <row r="795" spans="1:9">
      <c r="A795" s="30" t="s">
        <v>3958</v>
      </c>
      <c r="B795" s="30" t="s">
        <v>4052</v>
      </c>
      <c r="C795" s="3">
        <f t="shared" ref="C795:E795" si="775">C777</f>
        <v>10000</v>
      </c>
      <c r="D795" s="3">
        <f t="shared" si="775"/>
        <v>1000</v>
      </c>
      <c r="E795" s="3">
        <f t="shared" si="775"/>
        <v>99999000</v>
      </c>
      <c r="F795" s="2" t="s">
        <v>230</v>
      </c>
      <c r="G795" s="2" t="s">
        <v>1052</v>
      </c>
      <c r="H795" s="30">
        <f t="shared" si="730"/>
        <v>792</v>
      </c>
      <c r="I795" s="30"/>
    </row>
    <row r="796" spans="1:9">
      <c r="A796" s="30" t="s">
        <v>4112</v>
      </c>
      <c r="B796" s="30" t="s">
        <v>4053</v>
      </c>
      <c r="C796" s="3">
        <f t="shared" ref="C796:E796" si="776">C778</f>
        <v>0</v>
      </c>
      <c r="D796" s="3">
        <f t="shared" si="776"/>
        <v>0</v>
      </c>
      <c r="E796" s="3">
        <f t="shared" si="776"/>
        <v>1</v>
      </c>
      <c r="F796" s="2" t="s">
        <v>230</v>
      </c>
      <c r="G796" s="2" t="s">
        <v>1052</v>
      </c>
      <c r="H796" s="30">
        <f t="shared" si="730"/>
        <v>793</v>
      </c>
      <c r="I796" s="30"/>
    </row>
    <row r="797" spans="1:9">
      <c r="A797" s="30" t="s">
        <v>2432</v>
      </c>
      <c r="B797" s="30" t="s">
        <v>2433</v>
      </c>
      <c r="C797" s="62">
        <f t="shared" si="758"/>
        <v>228</v>
      </c>
      <c r="D797" s="3">
        <f t="shared" ref="D797:E797" si="777">D779</f>
        <v>1</v>
      </c>
      <c r="E797" s="3">
        <f t="shared" si="777"/>
        <v>4096</v>
      </c>
      <c r="F797" s="2" t="s">
        <v>230</v>
      </c>
      <c r="G797" s="2" t="s">
        <v>230</v>
      </c>
      <c r="H797" s="30">
        <f t="shared" si="730"/>
        <v>794</v>
      </c>
      <c r="I797" s="30"/>
    </row>
    <row r="798" spans="1:9">
      <c r="A798" s="30" t="s">
        <v>2434</v>
      </c>
      <c r="B798" s="30" t="s">
        <v>2435</v>
      </c>
      <c r="C798" s="3" t="str">
        <f t="shared" ref="C798:E798" si="778">C780</f>
        <v>0x00000000</v>
      </c>
      <c r="D798" s="3" t="str">
        <f t="shared" si="778"/>
        <v>0x80000000</v>
      </c>
      <c r="E798" s="3" t="str">
        <f t="shared" si="778"/>
        <v>0x7fffffff</v>
      </c>
      <c r="F798" s="2" t="s">
        <v>230</v>
      </c>
      <c r="G798" s="2" t="s">
        <v>1052</v>
      </c>
      <c r="H798" s="30">
        <f t="shared" si="730"/>
        <v>795</v>
      </c>
      <c r="I798" s="30"/>
    </row>
    <row r="799" spans="1:9">
      <c r="A799" s="30" t="s">
        <v>2436</v>
      </c>
      <c r="B799" s="30" t="s">
        <v>2437</v>
      </c>
      <c r="C799" s="3">
        <f t="shared" ref="C799:E799" si="779">C781</f>
        <v>0</v>
      </c>
      <c r="D799" s="3">
        <f t="shared" si="779"/>
        <v>0</v>
      </c>
      <c r="E799" s="3">
        <f t="shared" si="779"/>
        <v>65535</v>
      </c>
      <c r="F799" s="2" t="s">
        <v>230</v>
      </c>
      <c r="G799" s="2" t="s">
        <v>1052</v>
      </c>
      <c r="H799" s="30">
        <f t="shared" si="730"/>
        <v>796</v>
      </c>
      <c r="I799" s="30"/>
    </row>
    <row r="800" spans="1:9">
      <c r="A800" s="30" t="s">
        <v>2438</v>
      </c>
      <c r="B800" s="30" t="s">
        <v>2439</v>
      </c>
      <c r="C800" s="3">
        <f t="shared" ref="C800:E800" si="780">C782</f>
        <v>1</v>
      </c>
      <c r="D800" s="3">
        <f t="shared" si="780"/>
        <v>0</v>
      </c>
      <c r="E800" s="3">
        <f t="shared" si="780"/>
        <v>1</v>
      </c>
      <c r="F800" s="2" t="s">
        <v>230</v>
      </c>
      <c r="G800" s="2" t="s">
        <v>1052</v>
      </c>
      <c r="H800" s="30">
        <f t="shared" si="730"/>
        <v>797</v>
      </c>
      <c r="I800" s="30"/>
    </row>
    <row r="801" spans="1:9">
      <c r="A801" s="30" t="s">
        <v>2440</v>
      </c>
      <c r="B801" s="30" t="s">
        <v>2441</v>
      </c>
      <c r="C801" s="3">
        <f t="shared" ref="C801:E801" si="781">C783</f>
        <v>0</v>
      </c>
      <c r="D801" s="3">
        <f t="shared" si="781"/>
        <v>0</v>
      </c>
      <c r="E801" s="3">
        <f t="shared" si="781"/>
        <v>65535</v>
      </c>
      <c r="F801" s="2" t="s">
        <v>230</v>
      </c>
      <c r="G801" s="2" t="s">
        <v>1052</v>
      </c>
      <c r="H801" s="30">
        <f t="shared" si="730"/>
        <v>798</v>
      </c>
      <c r="I801" s="30"/>
    </row>
    <row r="802" spans="1:9">
      <c r="A802" s="30" t="s">
        <v>2442</v>
      </c>
      <c r="B802" s="30" t="s">
        <v>2443</v>
      </c>
      <c r="C802" s="3">
        <f t="shared" ref="C802:E802" si="782">C784</f>
        <v>0</v>
      </c>
      <c r="D802" s="3">
        <f t="shared" si="782"/>
        <v>0</v>
      </c>
      <c r="E802" s="3">
        <f t="shared" si="782"/>
        <v>1</v>
      </c>
      <c r="F802" s="2" t="s">
        <v>230</v>
      </c>
      <c r="G802" s="2" t="s">
        <v>1052</v>
      </c>
      <c r="H802" s="30">
        <f t="shared" si="730"/>
        <v>799</v>
      </c>
      <c r="I802" s="30"/>
    </row>
    <row r="803" spans="1:9">
      <c r="A803" s="30" t="s">
        <v>2444</v>
      </c>
      <c r="B803" s="30" t="s">
        <v>2445</v>
      </c>
      <c r="C803" s="3">
        <f t="shared" ref="C803:E803" si="783">C785</f>
        <v>1</v>
      </c>
      <c r="D803" s="3">
        <f t="shared" si="783"/>
        <v>0</v>
      </c>
      <c r="E803" s="3">
        <f t="shared" si="783"/>
        <v>2</v>
      </c>
      <c r="F803" s="2" t="s">
        <v>230</v>
      </c>
      <c r="G803" s="2" t="s">
        <v>1052</v>
      </c>
      <c r="H803" s="30">
        <f t="shared" si="730"/>
        <v>800</v>
      </c>
      <c r="I803" s="30"/>
    </row>
    <row r="804" spans="1:9">
      <c r="A804" s="30" t="s">
        <v>2446</v>
      </c>
      <c r="B804" s="30" t="s">
        <v>2447</v>
      </c>
      <c r="C804" s="3">
        <f t="shared" ref="C804:E804" si="784">C786</f>
        <v>0</v>
      </c>
      <c r="D804" s="3">
        <f t="shared" si="784"/>
        <v>0</v>
      </c>
      <c r="E804" s="3">
        <f t="shared" si="784"/>
        <v>3</v>
      </c>
      <c r="F804" s="2" t="s">
        <v>230</v>
      </c>
      <c r="G804" s="2" t="s">
        <v>1052</v>
      </c>
      <c r="H804" s="30">
        <f t="shared" si="730"/>
        <v>801</v>
      </c>
      <c r="I804" s="30"/>
    </row>
    <row r="805" spans="1:9">
      <c r="A805" s="30" t="s">
        <v>2448</v>
      </c>
      <c r="B805" s="30" t="s">
        <v>2449</v>
      </c>
      <c r="C805" s="3">
        <f t="shared" ref="C805:E805" si="785">C787</f>
        <v>0</v>
      </c>
      <c r="D805" s="3">
        <f t="shared" si="785"/>
        <v>0</v>
      </c>
      <c r="E805" s="3">
        <f t="shared" si="785"/>
        <v>3</v>
      </c>
      <c r="F805" s="2" t="s">
        <v>230</v>
      </c>
      <c r="G805" s="2" t="s">
        <v>1052</v>
      </c>
      <c r="H805" s="30">
        <f t="shared" si="730"/>
        <v>802</v>
      </c>
      <c r="I805" s="30"/>
    </row>
    <row r="806" spans="1:9">
      <c r="A806" s="30" t="s">
        <v>2450</v>
      </c>
      <c r="B806" s="30" t="s">
        <v>2451</v>
      </c>
      <c r="C806" s="3">
        <f t="shared" ref="C806:E806" si="786">C788</f>
        <v>0</v>
      </c>
      <c r="D806" s="3">
        <f t="shared" si="786"/>
        <v>0</v>
      </c>
      <c r="E806" s="3">
        <f t="shared" si="786"/>
        <v>3</v>
      </c>
      <c r="F806" s="2" t="s">
        <v>230</v>
      </c>
      <c r="G806" s="2" t="s">
        <v>1052</v>
      </c>
      <c r="H806" s="30">
        <f t="shared" si="730"/>
        <v>803</v>
      </c>
      <c r="I806" s="30"/>
    </row>
    <row r="807" spans="1:9">
      <c r="A807" s="30" t="s">
        <v>2452</v>
      </c>
      <c r="B807" s="30" t="s">
        <v>2697</v>
      </c>
      <c r="C807" s="3">
        <f t="shared" ref="C807:E807" si="787">C789</f>
        <v>0</v>
      </c>
      <c r="D807" s="3">
        <f t="shared" si="787"/>
        <v>0</v>
      </c>
      <c r="E807" s="3">
        <f t="shared" si="787"/>
        <v>1</v>
      </c>
      <c r="F807" s="2" t="s">
        <v>230</v>
      </c>
      <c r="G807" s="2" t="s">
        <v>1052</v>
      </c>
      <c r="H807" s="30">
        <f t="shared" si="730"/>
        <v>804</v>
      </c>
      <c r="I807" s="30"/>
    </row>
    <row r="808" spans="1:9">
      <c r="A808" s="30" t="s">
        <v>2453</v>
      </c>
      <c r="B808" s="30" t="s">
        <v>2454</v>
      </c>
      <c r="C808" s="3">
        <f t="shared" ref="C808:E808" si="788">C790</f>
        <v>0</v>
      </c>
      <c r="D808" s="3">
        <f t="shared" si="788"/>
        <v>0</v>
      </c>
      <c r="E808" s="3">
        <f t="shared" si="788"/>
        <v>1</v>
      </c>
      <c r="F808" s="2" t="s">
        <v>230</v>
      </c>
      <c r="G808" s="2" t="s">
        <v>1052</v>
      </c>
      <c r="H808" s="30">
        <f t="shared" si="730"/>
        <v>805</v>
      </c>
      <c r="I808" s="30"/>
    </row>
    <row r="809" spans="1:9">
      <c r="A809" s="30" t="s">
        <v>2455</v>
      </c>
      <c r="B809" s="30" t="s">
        <v>2456</v>
      </c>
      <c r="C809" s="3">
        <f t="shared" ref="C809:E809" si="789">C791</f>
        <v>0</v>
      </c>
      <c r="D809" s="3">
        <f t="shared" si="789"/>
        <v>0</v>
      </c>
      <c r="E809" s="3">
        <f t="shared" si="789"/>
        <v>4</v>
      </c>
      <c r="F809" s="2" t="s">
        <v>230</v>
      </c>
      <c r="G809" s="2" t="s">
        <v>1052</v>
      </c>
      <c r="H809" s="30">
        <f t="shared" si="730"/>
        <v>806</v>
      </c>
      <c r="I809" s="30"/>
    </row>
    <row r="810" spans="1:9">
      <c r="A810" s="30" t="s">
        <v>2457</v>
      </c>
      <c r="B810" s="30" t="s">
        <v>2458</v>
      </c>
      <c r="C810" s="3" t="str">
        <f t="shared" ref="C810:E810" si="790">C792</f>
        <v>(空文字)</v>
      </c>
      <c r="D810" s="3" t="str">
        <f t="shared" si="790"/>
        <v>(空文字)</v>
      </c>
      <c r="E810" s="3" t="str">
        <f t="shared" si="790"/>
        <v>(空文字)</v>
      </c>
      <c r="F810" s="2" t="s">
        <v>230</v>
      </c>
      <c r="G810" s="2" t="s">
        <v>1052</v>
      </c>
      <c r="H810" s="30">
        <f t="shared" si="730"/>
        <v>807</v>
      </c>
      <c r="I810" s="30"/>
    </row>
    <row r="811" spans="1:9">
      <c r="A811" s="30" t="s">
        <v>2459</v>
      </c>
      <c r="B811" s="30" t="s">
        <v>2460</v>
      </c>
      <c r="C811" s="3" t="str">
        <f t="shared" ref="C811:E811" si="791">C793</f>
        <v>(空文字)</v>
      </c>
      <c r="D811" s="3" t="str">
        <f t="shared" si="791"/>
        <v>(空文字)</v>
      </c>
      <c r="E811" s="3" t="str">
        <f t="shared" si="791"/>
        <v>(空文字)</v>
      </c>
      <c r="F811" s="2" t="s">
        <v>230</v>
      </c>
      <c r="G811" s="2" t="s">
        <v>1052</v>
      </c>
      <c r="H811" s="30">
        <f t="shared" si="730"/>
        <v>808</v>
      </c>
      <c r="I811" s="30"/>
    </row>
    <row r="812" spans="1:9">
      <c r="A812" s="30" t="s">
        <v>2461</v>
      </c>
      <c r="B812" s="30" t="s">
        <v>2462</v>
      </c>
      <c r="C812" s="3">
        <f t="shared" ref="C812:E812" si="792">C794</f>
        <v>0</v>
      </c>
      <c r="D812" s="3">
        <f t="shared" si="792"/>
        <v>0</v>
      </c>
      <c r="E812" s="3">
        <f t="shared" si="792"/>
        <v>3</v>
      </c>
      <c r="F812" s="2" t="s">
        <v>230</v>
      </c>
      <c r="G812" s="2" t="s">
        <v>1052</v>
      </c>
      <c r="H812" s="30">
        <f t="shared" si="730"/>
        <v>809</v>
      </c>
      <c r="I812" s="30"/>
    </row>
    <row r="813" spans="1:9">
      <c r="A813" s="30" t="s">
        <v>3959</v>
      </c>
      <c r="B813" s="30" t="s">
        <v>4054</v>
      </c>
      <c r="C813" s="3">
        <f t="shared" ref="C813:E813" si="793">C795</f>
        <v>10000</v>
      </c>
      <c r="D813" s="3">
        <f t="shared" si="793"/>
        <v>1000</v>
      </c>
      <c r="E813" s="3">
        <f t="shared" si="793"/>
        <v>99999000</v>
      </c>
      <c r="F813" s="2" t="s">
        <v>230</v>
      </c>
      <c r="G813" s="2" t="s">
        <v>1052</v>
      </c>
      <c r="H813" s="30">
        <f t="shared" si="730"/>
        <v>810</v>
      </c>
      <c r="I813" s="30"/>
    </row>
    <row r="814" spans="1:9">
      <c r="A814" s="30" t="s">
        <v>4113</v>
      </c>
      <c r="B814" s="30" t="s">
        <v>4055</v>
      </c>
      <c r="C814" s="3">
        <f t="shared" ref="C814:E814" si="794">C796</f>
        <v>0</v>
      </c>
      <c r="D814" s="3">
        <f t="shared" si="794"/>
        <v>0</v>
      </c>
      <c r="E814" s="3">
        <f t="shared" si="794"/>
        <v>1</v>
      </c>
      <c r="F814" s="2" t="s">
        <v>230</v>
      </c>
      <c r="G814" s="2" t="s">
        <v>1052</v>
      </c>
      <c r="H814" s="30">
        <f t="shared" ref="H814:H877" si="795">ROW()-3</f>
        <v>811</v>
      </c>
      <c r="I814" s="30"/>
    </row>
    <row r="815" spans="1:9">
      <c r="A815" s="30" t="s">
        <v>2463</v>
      </c>
      <c r="B815" s="30" t="s">
        <v>2464</v>
      </c>
      <c r="C815" s="62">
        <f t="shared" si="758"/>
        <v>229</v>
      </c>
      <c r="D815" s="3">
        <f t="shared" ref="D815:E815" si="796">D797</f>
        <v>1</v>
      </c>
      <c r="E815" s="3">
        <f t="shared" si="796"/>
        <v>4096</v>
      </c>
      <c r="F815" s="2" t="s">
        <v>230</v>
      </c>
      <c r="G815" s="2" t="s">
        <v>230</v>
      </c>
      <c r="H815" s="30">
        <f t="shared" si="795"/>
        <v>812</v>
      </c>
      <c r="I815" s="30"/>
    </row>
    <row r="816" spans="1:9">
      <c r="A816" s="30" t="s">
        <v>2465</v>
      </c>
      <c r="B816" s="30" t="s">
        <v>2466</v>
      </c>
      <c r="C816" s="3" t="str">
        <f t="shared" ref="C816:E816" si="797">C798</f>
        <v>0x00000000</v>
      </c>
      <c r="D816" s="3" t="str">
        <f t="shared" si="797"/>
        <v>0x80000000</v>
      </c>
      <c r="E816" s="3" t="str">
        <f t="shared" si="797"/>
        <v>0x7fffffff</v>
      </c>
      <c r="F816" s="2" t="s">
        <v>230</v>
      </c>
      <c r="G816" s="2" t="s">
        <v>1052</v>
      </c>
      <c r="H816" s="30">
        <f t="shared" si="795"/>
        <v>813</v>
      </c>
      <c r="I816" s="30"/>
    </row>
    <row r="817" spans="1:9">
      <c r="A817" s="30" t="s">
        <v>2467</v>
      </c>
      <c r="B817" s="30" t="s">
        <v>2468</v>
      </c>
      <c r="C817" s="3">
        <f t="shared" ref="C817:E817" si="798">C799</f>
        <v>0</v>
      </c>
      <c r="D817" s="3">
        <f t="shared" si="798"/>
        <v>0</v>
      </c>
      <c r="E817" s="3">
        <f t="shared" si="798"/>
        <v>65535</v>
      </c>
      <c r="F817" s="2" t="s">
        <v>230</v>
      </c>
      <c r="G817" s="2" t="s">
        <v>1052</v>
      </c>
      <c r="H817" s="30">
        <f t="shared" si="795"/>
        <v>814</v>
      </c>
      <c r="I817" s="30"/>
    </row>
    <row r="818" spans="1:9">
      <c r="A818" s="30" t="s">
        <v>2469</v>
      </c>
      <c r="B818" s="30" t="s">
        <v>2470</v>
      </c>
      <c r="C818" s="3">
        <f t="shared" ref="C818:E818" si="799">C800</f>
        <v>1</v>
      </c>
      <c r="D818" s="3">
        <f t="shared" si="799"/>
        <v>0</v>
      </c>
      <c r="E818" s="3">
        <f t="shared" si="799"/>
        <v>1</v>
      </c>
      <c r="F818" s="2" t="s">
        <v>230</v>
      </c>
      <c r="G818" s="2" t="s">
        <v>1052</v>
      </c>
      <c r="H818" s="30">
        <f t="shared" si="795"/>
        <v>815</v>
      </c>
      <c r="I818" s="30"/>
    </row>
    <row r="819" spans="1:9">
      <c r="A819" s="30" t="s">
        <v>2471</v>
      </c>
      <c r="B819" s="30" t="s">
        <v>2472</v>
      </c>
      <c r="C819" s="3">
        <f t="shared" ref="C819:E819" si="800">C801</f>
        <v>0</v>
      </c>
      <c r="D819" s="3">
        <f t="shared" si="800"/>
        <v>0</v>
      </c>
      <c r="E819" s="3">
        <f t="shared" si="800"/>
        <v>65535</v>
      </c>
      <c r="F819" s="2" t="s">
        <v>230</v>
      </c>
      <c r="G819" s="2" t="s">
        <v>1052</v>
      </c>
      <c r="H819" s="30">
        <f t="shared" si="795"/>
        <v>816</v>
      </c>
      <c r="I819" s="30"/>
    </row>
    <row r="820" spans="1:9">
      <c r="A820" s="30" t="s">
        <v>2473</v>
      </c>
      <c r="B820" s="30" t="s">
        <v>2474</v>
      </c>
      <c r="C820" s="3">
        <f t="shared" ref="C820:E820" si="801">C802</f>
        <v>0</v>
      </c>
      <c r="D820" s="3">
        <f t="shared" si="801"/>
        <v>0</v>
      </c>
      <c r="E820" s="3">
        <f t="shared" si="801"/>
        <v>1</v>
      </c>
      <c r="F820" s="2" t="s">
        <v>230</v>
      </c>
      <c r="G820" s="2" t="s">
        <v>1052</v>
      </c>
      <c r="H820" s="30">
        <f t="shared" si="795"/>
        <v>817</v>
      </c>
      <c r="I820" s="30"/>
    </row>
    <row r="821" spans="1:9">
      <c r="A821" s="30" t="s">
        <v>2475</v>
      </c>
      <c r="B821" s="30" t="s">
        <v>2476</v>
      </c>
      <c r="C821" s="3">
        <f t="shared" ref="C821:E821" si="802">C803</f>
        <v>1</v>
      </c>
      <c r="D821" s="3">
        <f t="shared" si="802"/>
        <v>0</v>
      </c>
      <c r="E821" s="3">
        <f t="shared" si="802"/>
        <v>2</v>
      </c>
      <c r="F821" s="2" t="s">
        <v>230</v>
      </c>
      <c r="G821" s="2" t="s">
        <v>1052</v>
      </c>
      <c r="H821" s="30">
        <f t="shared" si="795"/>
        <v>818</v>
      </c>
      <c r="I821" s="30"/>
    </row>
    <row r="822" spans="1:9">
      <c r="A822" s="30" t="s">
        <v>2477</v>
      </c>
      <c r="B822" s="30" t="s">
        <v>2478</v>
      </c>
      <c r="C822" s="3">
        <f t="shared" ref="C822:E822" si="803">C804</f>
        <v>0</v>
      </c>
      <c r="D822" s="3">
        <f t="shared" si="803"/>
        <v>0</v>
      </c>
      <c r="E822" s="3">
        <f t="shared" si="803"/>
        <v>3</v>
      </c>
      <c r="F822" s="2" t="s">
        <v>230</v>
      </c>
      <c r="G822" s="2" t="s">
        <v>1052</v>
      </c>
      <c r="H822" s="30">
        <f t="shared" si="795"/>
        <v>819</v>
      </c>
      <c r="I822" s="30"/>
    </row>
    <row r="823" spans="1:9">
      <c r="A823" s="30" t="s">
        <v>2479</v>
      </c>
      <c r="B823" s="30" t="s">
        <v>2480</v>
      </c>
      <c r="C823" s="3">
        <f t="shared" ref="C823:E823" si="804">C805</f>
        <v>0</v>
      </c>
      <c r="D823" s="3">
        <f t="shared" si="804"/>
        <v>0</v>
      </c>
      <c r="E823" s="3">
        <f t="shared" si="804"/>
        <v>3</v>
      </c>
      <c r="F823" s="2" t="s">
        <v>230</v>
      </c>
      <c r="G823" s="2" t="s">
        <v>1052</v>
      </c>
      <c r="H823" s="30">
        <f t="shared" si="795"/>
        <v>820</v>
      </c>
      <c r="I823" s="30"/>
    </row>
    <row r="824" spans="1:9">
      <c r="A824" s="30" t="s">
        <v>2481</v>
      </c>
      <c r="B824" s="30" t="s">
        <v>2482</v>
      </c>
      <c r="C824" s="3">
        <f t="shared" ref="C824:E824" si="805">C806</f>
        <v>0</v>
      </c>
      <c r="D824" s="3">
        <f t="shared" si="805"/>
        <v>0</v>
      </c>
      <c r="E824" s="3">
        <f t="shared" si="805"/>
        <v>3</v>
      </c>
      <c r="F824" s="2" t="s">
        <v>230</v>
      </c>
      <c r="G824" s="2" t="s">
        <v>1052</v>
      </c>
      <c r="H824" s="30">
        <f t="shared" si="795"/>
        <v>821</v>
      </c>
      <c r="I824" s="30"/>
    </row>
    <row r="825" spans="1:9">
      <c r="A825" s="30" t="s">
        <v>2483</v>
      </c>
      <c r="B825" s="30" t="s">
        <v>2698</v>
      </c>
      <c r="C825" s="3">
        <f t="shared" ref="C825:E825" si="806">C807</f>
        <v>0</v>
      </c>
      <c r="D825" s="3">
        <f t="shared" si="806"/>
        <v>0</v>
      </c>
      <c r="E825" s="3">
        <f t="shared" si="806"/>
        <v>1</v>
      </c>
      <c r="F825" s="2" t="s">
        <v>230</v>
      </c>
      <c r="G825" s="2" t="s">
        <v>1052</v>
      </c>
      <c r="H825" s="30">
        <f t="shared" si="795"/>
        <v>822</v>
      </c>
      <c r="I825" s="30"/>
    </row>
    <row r="826" spans="1:9">
      <c r="A826" s="30" t="s">
        <v>2484</v>
      </c>
      <c r="B826" s="30" t="s">
        <v>2485</v>
      </c>
      <c r="C826" s="3">
        <f t="shared" ref="C826:E826" si="807">C808</f>
        <v>0</v>
      </c>
      <c r="D826" s="3">
        <f t="shared" si="807"/>
        <v>0</v>
      </c>
      <c r="E826" s="3">
        <f t="shared" si="807"/>
        <v>1</v>
      </c>
      <c r="F826" s="2" t="s">
        <v>230</v>
      </c>
      <c r="G826" s="2" t="s">
        <v>1052</v>
      </c>
      <c r="H826" s="30">
        <f t="shared" si="795"/>
        <v>823</v>
      </c>
      <c r="I826" s="30"/>
    </row>
    <row r="827" spans="1:9">
      <c r="A827" s="30" t="s">
        <v>2486</v>
      </c>
      <c r="B827" s="30" t="s">
        <v>2487</v>
      </c>
      <c r="C827" s="3">
        <f t="shared" ref="C827:E827" si="808">C809</f>
        <v>0</v>
      </c>
      <c r="D827" s="3">
        <f t="shared" si="808"/>
        <v>0</v>
      </c>
      <c r="E827" s="3">
        <f t="shared" si="808"/>
        <v>4</v>
      </c>
      <c r="F827" s="2" t="s">
        <v>230</v>
      </c>
      <c r="G827" s="2" t="s">
        <v>1052</v>
      </c>
      <c r="H827" s="30">
        <f t="shared" si="795"/>
        <v>824</v>
      </c>
      <c r="I827" s="30"/>
    </row>
    <row r="828" spans="1:9">
      <c r="A828" s="30" t="s">
        <v>2488</v>
      </c>
      <c r="B828" s="30" t="s">
        <v>2489</v>
      </c>
      <c r="C828" s="3" t="str">
        <f t="shared" ref="C828:E828" si="809">C810</f>
        <v>(空文字)</v>
      </c>
      <c r="D828" s="3" t="str">
        <f t="shared" si="809"/>
        <v>(空文字)</v>
      </c>
      <c r="E828" s="3" t="str">
        <f t="shared" si="809"/>
        <v>(空文字)</v>
      </c>
      <c r="F828" s="2" t="s">
        <v>230</v>
      </c>
      <c r="G828" s="2" t="s">
        <v>1052</v>
      </c>
      <c r="H828" s="30">
        <f t="shared" si="795"/>
        <v>825</v>
      </c>
      <c r="I828" s="30"/>
    </row>
    <row r="829" spans="1:9">
      <c r="A829" s="30" t="s">
        <v>2490</v>
      </c>
      <c r="B829" s="30" t="s">
        <v>2491</v>
      </c>
      <c r="C829" s="3" t="str">
        <f t="shared" ref="C829:E829" si="810">C811</f>
        <v>(空文字)</v>
      </c>
      <c r="D829" s="3" t="str">
        <f t="shared" si="810"/>
        <v>(空文字)</v>
      </c>
      <c r="E829" s="3" t="str">
        <f t="shared" si="810"/>
        <v>(空文字)</v>
      </c>
      <c r="F829" s="2" t="s">
        <v>230</v>
      </c>
      <c r="G829" s="2" t="s">
        <v>1052</v>
      </c>
      <c r="H829" s="30">
        <f t="shared" si="795"/>
        <v>826</v>
      </c>
      <c r="I829" s="30"/>
    </row>
    <row r="830" spans="1:9">
      <c r="A830" s="30" t="s">
        <v>2492</v>
      </c>
      <c r="B830" s="30" t="s">
        <v>2493</v>
      </c>
      <c r="C830" s="3">
        <f t="shared" ref="C830:E830" si="811">C812</f>
        <v>0</v>
      </c>
      <c r="D830" s="3">
        <f t="shared" si="811"/>
        <v>0</v>
      </c>
      <c r="E830" s="3">
        <f t="shared" si="811"/>
        <v>3</v>
      </c>
      <c r="F830" s="2" t="s">
        <v>230</v>
      </c>
      <c r="G830" s="2" t="s">
        <v>1052</v>
      </c>
      <c r="H830" s="30">
        <f t="shared" si="795"/>
        <v>827</v>
      </c>
      <c r="I830" s="30"/>
    </row>
    <row r="831" spans="1:9">
      <c r="A831" s="30" t="s">
        <v>3960</v>
      </c>
      <c r="B831" s="30" t="s">
        <v>4056</v>
      </c>
      <c r="C831" s="3">
        <f t="shared" ref="C831:E831" si="812">C813</f>
        <v>10000</v>
      </c>
      <c r="D831" s="3">
        <f t="shared" si="812"/>
        <v>1000</v>
      </c>
      <c r="E831" s="3">
        <f t="shared" si="812"/>
        <v>99999000</v>
      </c>
      <c r="F831" s="2" t="s">
        <v>230</v>
      </c>
      <c r="G831" s="2" t="s">
        <v>1052</v>
      </c>
      <c r="H831" s="30">
        <f t="shared" si="795"/>
        <v>828</v>
      </c>
      <c r="I831" s="30"/>
    </row>
    <row r="832" spans="1:9">
      <c r="A832" s="30" t="s">
        <v>4114</v>
      </c>
      <c r="B832" s="30" t="s">
        <v>4057</v>
      </c>
      <c r="C832" s="3">
        <f t="shared" ref="C832:E832" si="813">C814</f>
        <v>0</v>
      </c>
      <c r="D832" s="3">
        <f t="shared" si="813"/>
        <v>0</v>
      </c>
      <c r="E832" s="3">
        <f t="shared" si="813"/>
        <v>1</v>
      </c>
      <c r="F832" s="2" t="s">
        <v>230</v>
      </c>
      <c r="G832" s="2" t="s">
        <v>1052</v>
      </c>
      <c r="H832" s="30">
        <f t="shared" si="795"/>
        <v>829</v>
      </c>
      <c r="I832" s="30"/>
    </row>
    <row r="833" spans="1:9">
      <c r="A833" s="30" t="s">
        <v>2494</v>
      </c>
      <c r="B833" s="30" t="s">
        <v>2495</v>
      </c>
      <c r="C833" s="62">
        <f t="shared" si="758"/>
        <v>230</v>
      </c>
      <c r="D833" s="3">
        <f t="shared" ref="D833:E833" si="814">D815</f>
        <v>1</v>
      </c>
      <c r="E833" s="3">
        <f t="shared" si="814"/>
        <v>4096</v>
      </c>
      <c r="F833" s="2" t="s">
        <v>230</v>
      </c>
      <c r="G833" s="2" t="s">
        <v>230</v>
      </c>
      <c r="H833" s="30">
        <f t="shared" si="795"/>
        <v>830</v>
      </c>
      <c r="I833" s="30"/>
    </row>
    <row r="834" spans="1:9">
      <c r="A834" s="30" t="s">
        <v>2496</v>
      </c>
      <c r="B834" s="30" t="s">
        <v>2497</v>
      </c>
      <c r="C834" s="3" t="str">
        <f t="shared" ref="C834:E834" si="815">C816</f>
        <v>0x00000000</v>
      </c>
      <c r="D834" s="3" t="str">
        <f t="shared" si="815"/>
        <v>0x80000000</v>
      </c>
      <c r="E834" s="3" t="str">
        <f t="shared" si="815"/>
        <v>0x7fffffff</v>
      </c>
      <c r="F834" s="2" t="s">
        <v>230</v>
      </c>
      <c r="G834" s="2" t="s">
        <v>1052</v>
      </c>
      <c r="H834" s="30">
        <f t="shared" si="795"/>
        <v>831</v>
      </c>
      <c r="I834" s="30"/>
    </row>
    <row r="835" spans="1:9">
      <c r="A835" s="30" t="s">
        <v>2498</v>
      </c>
      <c r="B835" s="30" t="s">
        <v>2499</v>
      </c>
      <c r="C835" s="3">
        <f t="shared" ref="C835:E835" si="816">C817</f>
        <v>0</v>
      </c>
      <c r="D835" s="3">
        <f t="shared" si="816"/>
        <v>0</v>
      </c>
      <c r="E835" s="3">
        <f t="shared" si="816"/>
        <v>65535</v>
      </c>
      <c r="F835" s="63" t="s">
        <v>230</v>
      </c>
      <c r="G835" s="63" t="s">
        <v>1052</v>
      </c>
      <c r="H835" s="30">
        <f t="shared" si="795"/>
        <v>832</v>
      </c>
      <c r="I835" s="30"/>
    </row>
    <row r="836" spans="1:9">
      <c r="A836" s="30" t="s">
        <v>2500</v>
      </c>
      <c r="B836" s="30" t="s">
        <v>2501</v>
      </c>
      <c r="C836" s="3">
        <f t="shared" ref="C836:E836" si="817">C818</f>
        <v>1</v>
      </c>
      <c r="D836" s="3">
        <f t="shared" si="817"/>
        <v>0</v>
      </c>
      <c r="E836" s="3">
        <f t="shared" si="817"/>
        <v>1</v>
      </c>
      <c r="F836" s="63" t="s">
        <v>230</v>
      </c>
      <c r="G836" s="63" t="s">
        <v>1052</v>
      </c>
      <c r="H836" s="30">
        <f t="shared" si="795"/>
        <v>833</v>
      </c>
      <c r="I836" s="30"/>
    </row>
    <row r="837" spans="1:9">
      <c r="A837" s="30" t="s">
        <v>2502</v>
      </c>
      <c r="B837" s="30" t="s">
        <v>2503</v>
      </c>
      <c r="C837" s="3">
        <f t="shared" ref="C837:E837" si="818">C819</f>
        <v>0</v>
      </c>
      <c r="D837" s="3">
        <f t="shared" si="818"/>
        <v>0</v>
      </c>
      <c r="E837" s="3">
        <f t="shared" si="818"/>
        <v>65535</v>
      </c>
      <c r="F837" s="63" t="s">
        <v>230</v>
      </c>
      <c r="G837" s="63" t="s">
        <v>1052</v>
      </c>
      <c r="H837" s="30">
        <f t="shared" si="795"/>
        <v>834</v>
      </c>
      <c r="I837" s="30"/>
    </row>
    <row r="838" spans="1:9">
      <c r="A838" s="30" t="s">
        <v>2504</v>
      </c>
      <c r="B838" s="30" t="s">
        <v>2505</v>
      </c>
      <c r="C838" s="3">
        <f t="shared" ref="C838:E838" si="819">C820</f>
        <v>0</v>
      </c>
      <c r="D838" s="3">
        <f t="shared" si="819"/>
        <v>0</v>
      </c>
      <c r="E838" s="3">
        <f t="shared" si="819"/>
        <v>1</v>
      </c>
      <c r="F838" s="63" t="s">
        <v>230</v>
      </c>
      <c r="G838" s="63" t="s">
        <v>1052</v>
      </c>
      <c r="H838" s="30">
        <f t="shared" si="795"/>
        <v>835</v>
      </c>
      <c r="I838" s="30"/>
    </row>
    <row r="839" spans="1:9">
      <c r="A839" s="30" t="s">
        <v>2506</v>
      </c>
      <c r="B839" s="30" t="s">
        <v>2507</v>
      </c>
      <c r="C839" s="3">
        <f t="shared" ref="C839:E839" si="820">C821</f>
        <v>1</v>
      </c>
      <c r="D839" s="3">
        <f t="shared" si="820"/>
        <v>0</v>
      </c>
      <c r="E839" s="3">
        <f t="shared" si="820"/>
        <v>2</v>
      </c>
      <c r="F839" s="63" t="s">
        <v>230</v>
      </c>
      <c r="G839" s="63" t="s">
        <v>1052</v>
      </c>
      <c r="H839" s="30">
        <f t="shared" si="795"/>
        <v>836</v>
      </c>
      <c r="I839" s="30"/>
    </row>
    <row r="840" spans="1:9">
      <c r="A840" s="30" t="s">
        <v>2508</v>
      </c>
      <c r="B840" s="30" t="s">
        <v>2509</v>
      </c>
      <c r="C840" s="3">
        <f t="shared" ref="C840:E840" si="821">C822</f>
        <v>0</v>
      </c>
      <c r="D840" s="3">
        <f t="shared" si="821"/>
        <v>0</v>
      </c>
      <c r="E840" s="3">
        <f t="shared" si="821"/>
        <v>3</v>
      </c>
      <c r="F840" s="63" t="s">
        <v>230</v>
      </c>
      <c r="G840" s="63" t="s">
        <v>1052</v>
      </c>
      <c r="H840" s="30">
        <f t="shared" si="795"/>
        <v>837</v>
      </c>
      <c r="I840" s="30"/>
    </row>
    <row r="841" spans="1:9">
      <c r="A841" s="30" t="s">
        <v>2510</v>
      </c>
      <c r="B841" s="30" t="s">
        <v>2511</v>
      </c>
      <c r="C841" s="3">
        <f t="shared" ref="C841:E841" si="822">C823</f>
        <v>0</v>
      </c>
      <c r="D841" s="3">
        <f t="shared" si="822"/>
        <v>0</v>
      </c>
      <c r="E841" s="3">
        <f t="shared" si="822"/>
        <v>3</v>
      </c>
      <c r="F841" s="63" t="s">
        <v>230</v>
      </c>
      <c r="G841" s="63" t="s">
        <v>1052</v>
      </c>
      <c r="H841" s="30">
        <f t="shared" si="795"/>
        <v>838</v>
      </c>
      <c r="I841" s="30"/>
    </row>
    <row r="842" spans="1:9">
      <c r="A842" s="30" t="s">
        <v>2512</v>
      </c>
      <c r="B842" s="30" t="s">
        <v>2513</v>
      </c>
      <c r="C842" s="3">
        <f t="shared" ref="C842:E842" si="823">C824</f>
        <v>0</v>
      </c>
      <c r="D842" s="3">
        <f t="shared" si="823"/>
        <v>0</v>
      </c>
      <c r="E842" s="3">
        <f t="shared" si="823"/>
        <v>3</v>
      </c>
      <c r="F842" s="63" t="s">
        <v>230</v>
      </c>
      <c r="G842" s="63" t="s">
        <v>1052</v>
      </c>
      <c r="H842" s="30">
        <f t="shared" si="795"/>
        <v>839</v>
      </c>
      <c r="I842" s="30"/>
    </row>
    <row r="843" spans="1:9">
      <c r="A843" s="30" t="s">
        <v>2514</v>
      </c>
      <c r="B843" s="30" t="s">
        <v>2699</v>
      </c>
      <c r="C843" s="3">
        <f t="shared" ref="C843:E843" si="824">C825</f>
        <v>0</v>
      </c>
      <c r="D843" s="3">
        <f t="shared" si="824"/>
        <v>0</v>
      </c>
      <c r="E843" s="3">
        <f t="shared" si="824"/>
        <v>1</v>
      </c>
      <c r="F843" s="63" t="s">
        <v>230</v>
      </c>
      <c r="G843" s="63" t="s">
        <v>1052</v>
      </c>
      <c r="H843" s="30">
        <f t="shared" si="795"/>
        <v>840</v>
      </c>
      <c r="I843" s="30"/>
    </row>
    <row r="844" spans="1:9">
      <c r="A844" s="30" t="s">
        <v>2515</v>
      </c>
      <c r="B844" s="30" t="s">
        <v>2516</v>
      </c>
      <c r="C844" s="3">
        <f t="shared" ref="C844:E844" si="825">C826</f>
        <v>0</v>
      </c>
      <c r="D844" s="3">
        <f t="shared" si="825"/>
        <v>0</v>
      </c>
      <c r="E844" s="3">
        <f t="shared" si="825"/>
        <v>1</v>
      </c>
      <c r="F844" s="63" t="s">
        <v>230</v>
      </c>
      <c r="G844" s="63" t="s">
        <v>1052</v>
      </c>
      <c r="H844" s="30">
        <f t="shared" si="795"/>
        <v>841</v>
      </c>
      <c r="I844" s="30"/>
    </row>
    <row r="845" spans="1:9">
      <c r="A845" s="30" t="s">
        <v>2517</v>
      </c>
      <c r="B845" s="30" t="s">
        <v>2518</v>
      </c>
      <c r="C845" s="3">
        <f t="shared" ref="C845:E845" si="826">C827</f>
        <v>0</v>
      </c>
      <c r="D845" s="3">
        <f t="shared" si="826"/>
        <v>0</v>
      </c>
      <c r="E845" s="3">
        <f t="shared" si="826"/>
        <v>4</v>
      </c>
      <c r="F845" s="63" t="s">
        <v>230</v>
      </c>
      <c r="G845" s="63" t="s">
        <v>1052</v>
      </c>
      <c r="H845" s="30">
        <f t="shared" si="795"/>
        <v>842</v>
      </c>
      <c r="I845" s="30"/>
    </row>
    <row r="846" spans="1:9">
      <c r="A846" s="30" t="s">
        <v>2519</v>
      </c>
      <c r="B846" s="30" t="s">
        <v>2520</v>
      </c>
      <c r="C846" s="3" t="str">
        <f t="shared" ref="C846:E846" si="827">C828</f>
        <v>(空文字)</v>
      </c>
      <c r="D846" s="3" t="str">
        <f t="shared" si="827"/>
        <v>(空文字)</v>
      </c>
      <c r="E846" s="3" t="str">
        <f t="shared" si="827"/>
        <v>(空文字)</v>
      </c>
      <c r="F846" s="63" t="s">
        <v>230</v>
      </c>
      <c r="G846" s="63" t="s">
        <v>1052</v>
      </c>
      <c r="H846" s="30">
        <f t="shared" si="795"/>
        <v>843</v>
      </c>
      <c r="I846" s="30"/>
    </row>
    <row r="847" spans="1:9">
      <c r="A847" s="30" t="s">
        <v>2521</v>
      </c>
      <c r="B847" s="30" t="s">
        <v>2522</v>
      </c>
      <c r="C847" s="3" t="str">
        <f t="shared" ref="C847:E847" si="828">C829</f>
        <v>(空文字)</v>
      </c>
      <c r="D847" s="3" t="str">
        <f t="shared" si="828"/>
        <v>(空文字)</v>
      </c>
      <c r="E847" s="3" t="str">
        <f t="shared" si="828"/>
        <v>(空文字)</v>
      </c>
      <c r="F847" s="63" t="s">
        <v>230</v>
      </c>
      <c r="G847" s="63" t="s">
        <v>1052</v>
      </c>
      <c r="H847" s="30">
        <f t="shared" si="795"/>
        <v>844</v>
      </c>
      <c r="I847" s="30"/>
    </row>
    <row r="848" spans="1:9">
      <c r="A848" s="30" t="s">
        <v>2523</v>
      </c>
      <c r="B848" s="30" t="s">
        <v>2524</v>
      </c>
      <c r="C848" s="3">
        <f t="shared" ref="C848:E848" si="829">C830</f>
        <v>0</v>
      </c>
      <c r="D848" s="3">
        <f t="shared" si="829"/>
        <v>0</v>
      </c>
      <c r="E848" s="3">
        <f t="shared" si="829"/>
        <v>3</v>
      </c>
      <c r="F848" s="63" t="s">
        <v>230</v>
      </c>
      <c r="G848" s="63" t="s">
        <v>1052</v>
      </c>
      <c r="H848" s="30">
        <f t="shared" si="795"/>
        <v>845</v>
      </c>
      <c r="I848" s="30"/>
    </row>
    <row r="849" spans="1:9">
      <c r="A849" s="30" t="s">
        <v>3961</v>
      </c>
      <c r="B849" s="30" t="s">
        <v>4058</v>
      </c>
      <c r="C849" s="3">
        <f t="shared" ref="C849:E849" si="830">C831</f>
        <v>10000</v>
      </c>
      <c r="D849" s="3">
        <f t="shared" si="830"/>
        <v>1000</v>
      </c>
      <c r="E849" s="3">
        <f t="shared" si="830"/>
        <v>99999000</v>
      </c>
      <c r="F849" s="63" t="s">
        <v>230</v>
      </c>
      <c r="G849" s="63" t="s">
        <v>1052</v>
      </c>
      <c r="H849" s="30">
        <f t="shared" si="795"/>
        <v>846</v>
      </c>
      <c r="I849" s="30"/>
    </row>
    <row r="850" spans="1:9">
      <c r="A850" s="30" t="s">
        <v>4115</v>
      </c>
      <c r="B850" s="30" t="s">
        <v>4059</v>
      </c>
      <c r="C850" s="3">
        <f t="shared" ref="C850:E850" si="831">C832</f>
        <v>0</v>
      </c>
      <c r="D850" s="3">
        <f t="shared" si="831"/>
        <v>0</v>
      </c>
      <c r="E850" s="3">
        <f t="shared" si="831"/>
        <v>1</v>
      </c>
      <c r="F850" s="63" t="s">
        <v>230</v>
      </c>
      <c r="G850" s="63" t="s">
        <v>1052</v>
      </c>
      <c r="H850" s="30">
        <f t="shared" si="795"/>
        <v>847</v>
      </c>
      <c r="I850" s="30"/>
    </row>
    <row r="851" spans="1:9">
      <c r="A851" s="30" t="s">
        <v>2525</v>
      </c>
      <c r="B851" s="30" t="s">
        <v>2526</v>
      </c>
      <c r="C851" s="62">
        <f t="shared" ref="C851:C905" si="832">C833+1</f>
        <v>231</v>
      </c>
      <c r="D851" s="3">
        <f t="shared" ref="D851:E851" si="833">D833</f>
        <v>1</v>
      </c>
      <c r="E851" s="3">
        <f t="shared" si="833"/>
        <v>4096</v>
      </c>
      <c r="F851" s="63" t="s">
        <v>230</v>
      </c>
      <c r="G851" s="63" t="s">
        <v>230</v>
      </c>
      <c r="H851" s="30">
        <f t="shared" si="795"/>
        <v>848</v>
      </c>
      <c r="I851" s="30"/>
    </row>
    <row r="852" spans="1:9">
      <c r="A852" s="30" t="s">
        <v>2527</v>
      </c>
      <c r="B852" s="30" t="s">
        <v>2528</v>
      </c>
      <c r="C852" s="3" t="str">
        <f t="shared" ref="C852:E852" si="834">C834</f>
        <v>0x00000000</v>
      </c>
      <c r="D852" s="3" t="str">
        <f t="shared" si="834"/>
        <v>0x80000000</v>
      </c>
      <c r="E852" s="3" t="str">
        <f t="shared" si="834"/>
        <v>0x7fffffff</v>
      </c>
      <c r="F852" s="63" t="s">
        <v>230</v>
      </c>
      <c r="G852" s="63" t="s">
        <v>1052</v>
      </c>
      <c r="H852" s="30">
        <f t="shared" si="795"/>
        <v>849</v>
      </c>
      <c r="I852" s="30"/>
    </row>
    <row r="853" spans="1:9">
      <c r="A853" s="30" t="s">
        <v>2529</v>
      </c>
      <c r="B853" s="30" t="s">
        <v>2530</v>
      </c>
      <c r="C853" s="3">
        <f t="shared" ref="C853:E853" si="835">C835</f>
        <v>0</v>
      </c>
      <c r="D853" s="3">
        <f t="shared" si="835"/>
        <v>0</v>
      </c>
      <c r="E853" s="3">
        <f t="shared" si="835"/>
        <v>65535</v>
      </c>
      <c r="F853" s="63" t="s">
        <v>230</v>
      </c>
      <c r="G853" s="63" t="s">
        <v>1052</v>
      </c>
      <c r="H853" s="30">
        <f t="shared" si="795"/>
        <v>850</v>
      </c>
      <c r="I853" s="30"/>
    </row>
    <row r="854" spans="1:9">
      <c r="A854" s="30" t="s">
        <v>2531</v>
      </c>
      <c r="B854" s="30" t="s">
        <v>2532</v>
      </c>
      <c r="C854" s="3">
        <f t="shared" ref="C854:E854" si="836">C836</f>
        <v>1</v>
      </c>
      <c r="D854" s="3">
        <f t="shared" si="836"/>
        <v>0</v>
      </c>
      <c r="E854" s="3">
        <f t="shared" si="836"/>
        <v>1</v>
      </c>
      <c r="F854" s="63" t="s">
        <v>230</v>
      </c>
      <c r="G854" s="63" t="s">
        <v>1052</v>
      </c>
      <c r="H854" s="30">
        <f t="shared" si="795"/>
        <v>851</v>
      </c>
      <c r="I854" s="30"/>
    </row>
    <row r="855" spans="1:9">
      <c r="A855" s="30" t="s">
        <v>2533</v>
      </c>
      <c r="B855" s="30" t="s">
        <v>2534</v>
      </c>
      <c r="C855" s="3">
        <f t="shared" ref="C855:E855" si="837">C837</f>
        <v>0</v>
      </c>
      <c r="D855" s="3">
        <f t="shared" si="837"/>
        <v>0</v>
      </c>
      <c r="E855" s="3">
        <f t="shared" si="837"/>
        <v>65535</v>
      </c>
      <c r="F855" s="63" t="s">
        <v>230</v>
      </c>
      <c r="G855" s="63" t="s">
        <v>1052</v>
      </c>
      <c r="H855" s="30">
        <f t="shared" si="795"/>
        <v>852</v>
      </c>
      <c r="I855" s="30"/>
    </row>
    <row r="856" spans="1:9">
      <c r="A856" s="30" t="s">
        <v>2535</v>
      </c>
      <c r="B856" s="30" t="s">
        <v>2536</v>
      </c>
      <c r="C856" s="3">
        <f t="shared" ref="C856:E856" si="838">C838</f>
        <v>0</v>
      </c>
      <c r="D856" s="3">
        <f t="shared" si="838"/>
        <v>0</v>
      </c>
      <c r="E856" s="3">
        <f t="shared" si="838"/>
        <v>1</v>
      </c>
      <c r="F856" s="63" t="s">
        <v>230</v>
      </c>
      <c r="G856" s="63" t="s">
        <v>1052</v>
      </c>
      <c r="H856" s="30">
        <f t="shared" si="795"/>
        <v>853</v>
      </c>
      <c r="I856" s="30"/>
    </row>
    <row r="857" spans="1:9">
      <c r="A857" s="30" t="s">
        <v>2537</v>
      </c>
      <c r="B857" s="30" t="s">
        <v>2538</v>
      </c>
      <c r="C857" s="3">
        <f t="shared" ref="C857:E857" si="839">C839</f>
        <v>1</v>
      </c>
      <c r="D857" s="3">
        <f t="shared" si="839"/>
        <v>0</v>
      </c>
      <c r="E857" s="3">
        <f t="shared" si="839"/>
        <v>2</v>
      </c>
      <c r="F857" s="63" t="s">
        <v>230</v>
      </c>
      <c r="G857" s="63" t="s">
        <v>1052</v>
      </c>
      <c r="H857" s="30">
        <f t="shared" si="795"/>
        <v>854</v>
      </c>
      <c r="I857" s="30"/>
    </row>
    <row r="858" spans="1:9">
      <c r="A858" s="30" t="s">
        <v>2539</v>
      </c>
      <c r="B858" s="30" t="s">
        <v>2540</v>
      </c>
      <c r="C858" s="3">
        <f t="shared" ref="C858:E858" si="840">C840</f>
        <v>0</v>
      </c>
      <c r="D858" s="3">
        <f t="shared" si="840"/>
        <v>0</v>
      </c>
      <c r="E858" s="3">
        <f t="shared" si="840"/>
        <v>3</v>
      </c>
      <c r="F858" s="63" t="s">
        <v>230</v>
      </c>
      <c r="G858" s="63" t="s">
        <v>1052</v>
      </c>
      <c r="H858" s="30">
        <f t="shared" si="795"/>
        <v>855</v>
      </c>
      <c r="I858" s="30"/>
    </row>
    <row r="859" spans="1:9">
      <c r="A859" s="30" t="s">
        <v>2541</v>
      </c>
      <c r="B859" s="30" t="s">
        <v>2542</v>
      </c>
      <c r="C859" s="3">
        <f t="shared" ref="C859:E859" si="841">C841</f>
        <v>0</v>
      </c>
      <c r="D859" s="3">
        <f t="shared" si="841"/>
        <v>0</v>
      </c>
      <c r="E859" s="3">
        <f t="shared" si="841"/>
        <v>3</v>
      </c>
      <c r="F859" s="63" t="s">
        <v>230</v>
      </c>
      <c r="G859" s="63" t="s">
        <v>1052</v>
      </c>
      <c r="H859" s="30">
        <f t="shared" si="795"/>
        <v>856</v>
      </c>
      <c r="I859" s="30"/>
    </row>
    <row r="860" spans="1:9">
      <c r="A860" s="30" t="s">
        <v>2543</v>
      </c>
      <c r="B860" s="30" t="s">
        <v>2544</v>
      </c>
      <c r="C860" s="3">
        <f t="shared" ref="C860:E860" si="842">C842</f>
        <v>0</v>
      </c>
      <c r="D860" s="3">
        <f t="shared" si="842"/>
        <v>0</v>
      </c>
      <c r="E860" s="3">
        <f t="shared" si="842"/>
        <v>3</v>
      </c>
      <c r="F860" s="63" t="s">
        <v>230</v>
      </c>
      <c r="G860" s="63" t="s">
        <v>1052</v>
      </c>
      <c r="H860" s="30">
        <f t="shared" si="795"/>
        <v>857</v>
      </c>
      <c r="I860" s="30"/>
    </row>
    <row r="861" spans="1:9">
      <c r="A861" s="30" t="s">
        <v>2545</v>
      </c>
      <c r="B861" s="30" t="s">
        <v>2700</v>
      </c>
      <c r="C861" s="3">
        <f t="shared" ref="C861:E861" si="843">C843</f>
        <v>0</v>
      </c>
      <c r="D861" s="3">
        <f t="shared" si="843"/>
        <v>0</v>
      </c>
      <c r="E861" s="3">
        <f t="shared" si="843"/>
        <v>1</v>
      </c>
      <c r="F861" s="63" t="s">
        <v>230</v>
      </c>
      <c r="G861" s="63" t="s">
        <v>1052</v>
      </c>
      <c r="H861" s="30">
        <f t="shared" si="795"/>
        <v>858</v>
      </c>
      <c r="I861" s="30"/>
    </row>
    <row r="862" spans="1:9">
      <c r="A862" s="30" t="s">
        <v>2546</v>
      </c>
      <c r="B862" s="30" t="s">
        <v>2547</v>
      </c>
      <c r="C862" s="3">
        <f t="shared" ref="C862:E862" si="844">C844</f>
        <v>0</v>
      </c>
      <c r="D862" s="3">
        <f t="shared" si="844"/>
        <v>0</v>
      </c>
      <c r="E862" s="3">
        <f t="shared" si="844"/>
        <v>1</v>
      </c>
      <c r="F862" s="63" t="s">
        <v>230</v>
      </c>
      <c r="G862" s="63" t="s">
        <v>1052</v>
      </c>
      <c r="H862" s="30">
        <f t="shared" si="795"/>
        <v>859</v>
      </c>
      <c r="I862" s="30"/>
    </row>
    <row r="863" spans="1:9">
      <c r="A863" s="30" t="s">
        <v>2548</v>
      </c>
      <c r="B863" s="30" t="s">
        <v>2549</v>
      </c>
      <c r="C863" s="3">
        <f t="shared" ref="C863:E863" si="845">C845</f>
        <v>0</v>
      </c>
      <c r="D863" s="3">
        <f t="shared" si="845"/>
        <v>0</v>
      </c>
      <c r="E863" s="3">
        <f t="shared" si="845"/>
        <v>4</v>
      </c>
      <c r="F863" s="63" t="s">
        <v>230</v>
      </c>
      <c r="G863" s="63" t="s">
        <v>1052</v>
      </c>
      <c r="H863" s="30">
        <f t="shared" si="795"/>
        <v>860</v>
      </c>
      <c r="I863" s="30"/>
    </row>
    <row r="864" spans="1:9">
      <c r="A864" s="30" t="s">
        <v>2550</v>
      </c>
      <c r="B864" s="30" t="s">
        <v>2551</v>
      </c>
      <c r="C864" s="3" t="str">
        <f t="shared" ref="C864:E864" si="846">C846</f>
        <v>(空文字)</v>
      </c>
      <c r="D864" s="3" t="str">
        <f t="shared" si="846"/>
        <v>(空文字)</v>
      </c>
      <c r="E864" s="3" t="str">
        <f t="shared" si="846"/>
        <v>(空文字)</v>
      </c>
      <c r="F864" s="63" t="s">
        <v>230</v>
      </c>
      <c r="G864" s="63" t="s">
        <v>1052</v>
      </c>
      <c r="H864" s="30">
        <f t="shared" si="795"/>
        <v>861</v>
      </c>
      <c r="I864" s="30"/>
    </row>
    <row r="865" spans="1:9">
      <c r="A865" s="30" t="s">
        <v>2552</v>
      </c>
      <c r="B865" s="30" t="s">
        <v>2553</v>
      </c>
      <c r="C865" s="3" t="str">
        <f t="shared" ref="C865:E865" si="847">C847</f>
        <v>(空文字)</v>
      </c>
      <c r="D865" s="3" t="str">
        <f t="shared" si="847"/>
        <v>(空文字)</v>
      </c>
      <c r="E865" s="3" t="str">
        <f t="shared" si="847"/>
        <v>(空文字)</v>
      </c>
      <c r="F865" s="63" t="s">
        <v>230</v>
      </c>
      <c r="G865" s="63" t="s">
        <v>1052</v>
      </c>
      <c r="H865" s="30">
        <f t="shared" si="795"/>
        <v>862</v>
      </c>
      <c r="I865" s="30"/>
    </row>
    <row r="866" spans="1:9">
      <c r="A866" s="30" t="s">
        <v>2554</v>
      </c>
      <c r="B866" s="30" t="s">
        <v>2555</v>
      </c>
      <c r="C866" s="3">
        <f t="shared" ref="C866:E866" si="848">C848</f>
        <v>0</v>
      </c>
      <c r="D866" s="3">
        <f t="shared" si="848"/>
        <v>0</v>
      </c>
      <c r="E866" s="3">
        <f t="shared" si="848"/>
        <v>3</v>
      </c>
      <c r="F866" s="63" t="s">
        <v>230</v>
      </c>
      <c r="G866" s="63" t="s">
        <v>1052</v>
      </c>
      <c r="H866" s="30">
        <f t="shared" si="795"/>
        <v>863</v>
      </c>
      <c r="I866" s="30"/>
    </row>
    <row r="867" spans="1:9">
      <c r="A867" s="30" t="s">
        <v>3962</v>
      </c>
      <c r="B867" s="30" t="s">
        <v>4060</v>
      </c>
      <c r="C867" s="3">
        <f t="shared" ref="C867:E867" si="849">C849</f>
        <v>10000</v>
      </c>
      <c r="D867" s="3">
        <f t="shared" si="849"/>
        <v>1000</v>
      </c>
      <c r="E867" s="3">
        <f t="shared" si="849"/>
        <v>99999000</v>
      </c>
      <c r="F867" s="63" t="s">
        <v>230</v>
      </c>
      <c r="G867" s="63" t="s">
        <v>1052</v>
      </c>
      <c r="H867" s="30">
        <f t="shared" si="795"/>
        <v>864</v>
      </c>
      <c r="I867" s="30"/>
    </row>
    <row r="868" spans="1:9">
      <c r="A868" s="30" t="s">
        <v>4116</v>
      </c>
      <c r="B868" s="30" t="s">
        <v>4061</v>
      </c>
      <c r="C868" s="3">
        <f t="shared" ref="C868:E868" si="850">C850</f>
        <v>0</v>
      </c>
      <c r="D868" s="3">
        <f t="shared" si="850"/>
        <v>0</v>
      </c>
      <c r="E868" s="3">
        <f t="shared" si="850"/>
        <v>1</v>
      </c>
      <c r="F868" s="63" t="s">
        <v>230</v>
      </c>
      <c r="G868" s="63" t="s">
        <v>1052</v>
      </c>
      <c r="H868" s="30">
        <f t="shared" si="795"/>
        <v>865</v>
      </c>
      <c r="I868" s="30"/>
    </row>
    <row r="869" spans="1:9">
      <c r="A869" s="30" t="s">
        <v>2556</v>
      </c>
      <c r="B869" s="30" t="s">
        <v>2557</v>
      </c>
      <c r="C869" s="62">
        <f t="shared" si="832"/>
        <v>232</v>
      </c>
      <c r="D869" s="3">
        <f t="shared" ref="D869:E869" si="851">D851</f>
        <v>1</v>
      </c>
      <c r="E869" s="3">
        <f t="shared" si="851"/>
        <v>4096</v>
      </c>
      <c r="F869" s="63" t="s">
        <v>230</v>
      </c>
      <c r="G869" s="63" t="s">
        <v>230</v>
      </c>
      <c r="H869" s="30">
        <f t="shared" si="795"/>
        <v>866</v>
      </c>
      <c r="I869" s="30"/>
    </row>
    <row r="870" spans="1:9">
      <c r="A870" s="30" t="s">
        <v>2558</v>
      </c>
      <c r="B870" s="30" t="s">
        <v>2559</v>
      </c>
      <c r="C870" s="3" t="str">
        <f t="shared" ref="C870:E870" si="852">C852</f>
        <v>0x00000000</v>
      </c>
      <c r="D870" s="3" t="str">
        <f t="shared" si="852"/>
        <v>0x80000000</v>
      </c>
      <c r="E870" s="3" t="str">
        <f t="shared" si="852"/>
        <v>0x7fffffff</v>
      </c>
      <c r="F870" s="63" t="s">
        <v>230</v>
      </c>
      <c r="G870" s="63" t="s">
        <v>1052</v>
      </c>
      <c r="H870" s="30">
        <f t="shared" si="795"/>
        <v>867</v>
      </c>
      <c r="I870" s="30"/>
    </row>
    <row r="871" spans="1:9">
      <c r="A871" s="30" t="s">
        <v>2560</v>
      </c>
      <c r="B871" s="30" t="s">
        <v>2561</v>
      </c>
      <c r="C871" s="3">
        <f t="shared" ref="C871:E871" si="853">C853</f>
        <v>0</v>
      </c>
      <c r="D871" s="3">
        <f t="shared" si="853"/>
        <v>0</v>
      </c>
      <c r="E871" s="3">
        <f t="shared" si="853"/>
        <v>65535</v>
      </c>
      <c r="F871" s="63" t="s">
        <v>230</v>
      </c>
      <c r="G871" s="63" t="s">
        <v>1052</v>
      </c>
      <c r="H871" s="30">
        <f t="shared" si="795"/>
        <v>868</v>
      </c>
      <c r="I871" s="30"/>
    </row>
    <row r="872" spans="1:9">
      <c r="A872" s="30" t="s">
        <v>2562</v>
      </c>
      <c r="B872" s="30" t="s">
        <v>2563</v>
      </c>
      <c r="C872" s="3">
        <f t="shared" ref="C872:E872" si="854">C854</f>
        <v>1</v>
      </c>
      <c r="D872" s="3">
        <f t="shared" si="854"/>
        <v>0</v>
      </c>
      <c r="E872" s="3">
        <f t="shared" si="854"/>
        <v>1</v>
      </c>
      <c r="F872" s="63" t="s">
        <v>230</v>
      </c>
      <c r="G872" s="63" t="s">
        <v>1052</v>
      </c>
      <c r="H872" s="30">
        <f t="shared" si="795"/>
        <v>869</v>
      </c>
      <c r="I872" s="30"/>
    </row>
    <row r="873" spans="1:9">
      <c r="A873" s="30" t="s">
        <v>2564</v>
      </c>
      <c r="B873" s="30" t="s">
        <v>2565</v>
      </c>
      <c r="C873" s="3">
        <f t="shared" ref="C873:E873" si="855">C855</f>
        <v>0</v>
      </c>
      <c r="D873" s="3">
        <f t="shared" si="855"/>
        <v>0</v>
      </c>
      <c r="E873" s="3">
        <f t="shared" si="855"/>
        <v>65535</v>
      </c>
      <c r="F873" s="63" t="s">
        <v>230</v>
      </c>
      <c r="G873" s="63" t="s">
        <v>1052</v>
      </c>
      <c r="H873" s="30">
        <f t="shared" si="795"/>
        <v>870</v>
      </c>
      <c r="I873" s="30"/>
    </row>
    <row r="874" spans="1:9">
      <c r="A874" s="30" t="s">
        <v>2566</v>
      </c>
      <c r="B874" s="30" t="s">
        <v>2567</v>
      </c>
      <c r="C874" s="3">
        <f t="shared" ref="C874:E874" si="856">C856</f>
        <v>0</v>
      </c>
      <c r="D874" s="3">
        <f t="shared" si="856"/>
        <v>0</v>
      </c>
      <c r="E874" s="3">
        <f t="shared" si="856"/>
        <v>1</v>
      </c>
      <c r="F874" s="63" t="s">
        <v>230</v>
      </c>
      <c r="G874" s="63" t="s">
        <v>1052</v>
      </c>
      <c r="H874" s="30">
        <f t="shared" si="795"/>
        <v>871</v>
      </c>
      <c r="I874" s="30"/>
    </row>
    <row r="875" spans="1:9">
      <c r="A875" s="30" t="s">
        <v>2568</v>
      </c>
      <c r="B875" s="30" t="s">
        <v>2569</v>
      </c>
      <c r="C875" s="3">
        <f t="shared" ref="C875:E875" si="857">C857</f>
        <v>1</v>
      </c>
      <c r="D875" s="3">
        <f t="shared" si="857"/>
        <v>0</v>
      </c>
      <c r="E875" s="3">
        <f t="shared" si="857"/>
        <v>2</v>
      </c>
      <c r="F875" s="63" t="s">
        <v>230</v>
      </c>
      <c r="G875" s="63" t="s">
        <v>1052</v>
      </c>
      <c r="H875" s="30">
        <f t="shared" si="795"/>
        <v>872</v>
      </c>
      <c r="I875" s="30"/>
    </row>
    <row r="876" spans="1:9">
      <c r="A876" s="30" t="s">
        <v>2570</v>
      </c>
      <c r="B876" s="30" t="s">
        <v>2571</v>
      </c>
      <c r="C876" s="3">
        <f t="shared" ref="C876:E876" si="858">C858</f>
        <v>0</v>
      </c>
      <c r="D876" s="3">
        <f t="shared" si="858"/>
        <v>0</v>
      </c>
      <c r="E876" s="3">
        <f t="shared" si="858"/>
        <v>3</v>
      </c>
      <c r="F876" s="63" t="s">
        <v>230</v>
      </c>
      <c r="G876" s="63" t="s">
        <v>1052</v>
      </c>
      <c r="H876" s="30">
        <f t="shared" si="795"/>
        <v>873</v>
      </c>
      <c r="I876" s="30"/>
    </row>
    <row r="877" spans="1:9">
      <c r="A877" s="30" t="s">
        <v>2572</v>
      </c>
      <c r="B877" s="30" t="s">
        <v>2573</v>
      </c>
      <c r="C877" s="3">
        <f t="shared" ref="C877:E877" si="859">C859</f>
        <v>0</v>
      </c>
      <c r="D877" s="3">
        <f t="shared" si="859"/>
        <v>0</v>
      </c>
      <c r="E877" s="3">
        <f t="shared" si="859"/>
        <v>3</v>
      </c>
      <c r="F877" s="63" t="s">
        <v>230</v>
      </c>
      <c r="G877" s="63" t="s">
        <v>1052</v>
      </c>
      <c r="H877" s="30">
        <f t="shared" si="795"/>
        <v>874</v>
      </c>
      <c r="I877" s="30"/>
    </row>
    <row r="878" spans="1:9">
      <c r="A878" s="30" t="s">
        <v>2574</v>
      </c>
      <c r="B878" s="30" t="s">
        <v>2575</v>
      </c>
      <c r="C878" s="3">
        <f t="shared" ref="C878:E878" si="860">C860</f>
        <v>0</v>
      </c>
      <c r="D878" s="3">
        <f t="shared" si="860"/>
        <v>0</v>
      </c>
      <c r="E878" s="3">
        <f t="shared" si="860"/>
        <v>3</v>
      </c>
      <c r="F878" s="63" t="s">
        <v>230</v>
      </c>
      <c r="G878" s="63" t="s">
        <v>1052</v>
      </c>
      <c r="H878" s="30">
        <f t="shared" ref="H878:H943" si="861">ROW()-3</f>
        <v>875</v>
      </c>
      <c r="I878" s="30"/>
    </row>
    <row r="879" spans="1:9">
      <c r="A879" s="30" t="s">
        <v>2576</v>
      </c>
      <c r="B879" s="30" t="s">
        <v>2701</v>
      </c>
      <c r="C879" s="3">
        <f t="shared" ref="C879:E879" si="862">C861</f>
        <v>0</v>
      </c>
      <c r="D879" s="3">
        <f t="shared" si="862"/>
        <v>0</v>
      </c>
      <c r="E879" s="3">
        <f t="shared" si="862"/>
        <v>1</v>
      </c>
      <c r="F879" s="63" t="s">
        <v>230</v>
      </c>
      <c r="G879" s="63" t="s">
        <v>1052</v>
      </c>
      <c r="H879" s="30">
        <f t="shared" si="861"/>
        <v>876</v>
      </c>
      <c r="I879" s="30"/>
    </row>
    <row r="880" spans="1:9">
      <c r="A880" s="30" t="s">
        <v>2577</v>
      </c>
      <c r="B880" s="30" t="s">
        <v>2578</v>
      </c>
      <c r="C880" s="3">
        <f t="shared" ref="C880:E880" si="863">C862</f>
        <v>0</v>
      </c>
      <c r="D880" s="3">
        <f t="shared" si="863"/>
        <v>0</v>
      </c>
      <c r="E880" s="3">
        <f t="shared" si="863"/>
        <v>1</v>
      </c>
      <c r="F880" s="63" t="s">
        <v>230</v>
      </c>
      <c r="G880" s="63" t="s">
        <v>1052</v>
      </c>
      <c r="H880" s="30">
        <f t="shared" si="861"/>
        <v>877</v>
      </c>
      <c r="I880" s="30"/>
    </row>
    <row r="881" spans="1:9">
      <c r="A881" s="30" t="s">
        <v>2579</v>
      </c>
      <c r="B881" s="30" t="s">
        <v>2580</v>
      </c>
      <c r="C881" s="3">
        <f t="shared" ref="C881:E881" si="864">C863</f>
        <v>0</v>
      </c>
      <c r="D881" s="3">
        <f t="shared" si="864"/>
        <v>0</v>
      </c>
      <c r="E881" s="3">
        <f t="shared" si="864"/>
        <v>4</v>
      </c>
      <c r="F881" s="63" t="s">
        <v>230</v>
      </c>
      <c r="G881" s="63" t="s">
        <v>1052</v>
      </c>
      <c r="H881" s="30">
        <f t="shared" si="861"/>
        <v>878</v>
      </c>
      <c r="I881" s="30"/>
    </row>
    <row r="882" spans="1:9">
      <c r="A882" s="30" t="s">
        <v>2581</v>
      </c>
      <c r="B882" s="30" t="s">
        <v>2582</v>
      </c>
      <c r="C882" s="3" t="str">
        <f t="shared" ref="C882:E882" si="865">C864</f>
        <v>(空文字)</v>
      </c>
      <c r="D882" s="3" t="str">
        <f t="shared" si="865"/>
        <v>(空文字)</v>
      </c>
      <c r="E882" s="3" t="str">
        <f t="shared" si="865"/>
        <v>(空文字)</v>
      </c>
      <c r="F882" s="63" t="s">
        <v>230</v>
      </c>
      <c r="G882" s="63" t="s">
        <v>1052</v>
      </c>
      <c r="H882" s="30">
        <f t="shared" si="861"/>
        <v>879</v>
      </c>
      <c r="I882" s="30"/>
    </row>
    <row r="883" spans="1:9">
      <c r="A883" s="30" t="s">
        <v>2583</v>
      </c>
      <c r="B883" s="30" t="s">
        <v>2584</v>
      </c>
      <c r="C883" s="3" t="str">
        <f t="shared" ref="C883:E883" si="866">C865</f>
        <v>(空文字)</v>
      </c>
      <c r="D883" s="3" t="str">
        <f t="shared" si="866"/>
        <v>(空文字)</v>
      </c>
      <c r="E883" s="3" t="str">
        <f t="shared" si="866"/>
        <v>(空文字)</v>
      </c>
      <c r="F883" s="63" t="s">
        <v>230</v>
      </c>
      <c r="G883" s="63" t="s">
        <v>1052</v>
      </c>
      <c r="H883" s="30">
        <f t="shared" si="861"/>
        <v>880</v>
      </c>
      <c r="I883" s="30"/>
    </row>
    <row r="884" spans="1:9">
      <c r="A884" s="30" t="s">
        <v>2585</v>
      </c>
      <c r="B884" s="30" t="s">
        <v>2586</v>
      </c>
      <c r="C884" s="3">
        <f t="shared" ref="C884:E884" si="867">C866</f>
        <v>0</v>
      </c>
      <c r="D884" s="3">
        <f t="shared" si="867"/>
        <v>0</v>
      </c>
      <c r="E884" s="3">
        <f t="shared" si="867"/>
        <v>3</v>
      </c>
      <c r="F884" s="63" t="s">
        <v>230</v>
      </c>
      <c r="G884" s="63" t="s">
        <v>1052</v>
      </c>
      <c r="H884" s="30">
        <f t="shared" si="861"/>
        <v>881</v>
      </c>
      <c r="I884" s="30"/>
    </row>
    <row r="885" spans="1:9">
      <c r="A885" s="30" t="s">
        <v>3963</v>
      </c>
      <c r="B885" s="30" t="s">
        <v>4062</v>
      </c>
      <c r="C885" s="3">
        <f t="shared" ref="C885:E885" si="868">C867</f>
        <v>10000</v>
      </c>
      <c r="D885" s="3">
        <f t="shared" si="868"/>
        <v>1000</v>
      </c>
      <c r="E885" s="3">
        <f t="shared" si="868"/>
        <v>99999000</v>
      </c>
      <c r="F885" s="63" t="s">
        <v>230</v>
      </c>
      <c r="G885" s="63" t="s">
        <v>1052</v>
      </c>
      <c r="H885" s="30">
        <f t="shared" si="861"/>
        <v>882</v>
      </c>
      <c r="I885" s="30"/>
    </row>
    <row r="886" spans="1:9">
      <c r="A886" s="30" t="s">
        <v>4117</v>
      </c>
      <c r="B886" s="30" t="s">
        <v>4063</v>
      </c>
      <c r="C886" s="3">
        <f t="shared" ref="C886:E886" si="869">C868</f>
        <v>0</v>
      </c>
      <c r="D886" s="3">
        <f t="shared" si="869"/>
        <v>0</v>
      </c>
      <c r="E886" s="3">
        <f t="shared" si="869"/>
        <v>1</v>
      </c>
      <c r="F886" s="63" t="s">
        <v>230</v>
      </c>
      <c r="G886" s="63" t="s">
        <v>1052</v>
      </c>
      <c r="H886" s="30">
        <f t="shared" si="861"/>
        <v>883</v>
      </c>
      <c r="I886" s="30"/>
    </row>
    <row r="887" spans="1:9">
      <c r="A887" s="30" t="s">
        <v>2587</v>
      </c>
      <c r="B887" s="30" t="s">
        <v>2588</v>
      </c>
      <c r="C887" s="62">
        <f t="shared" si="832"/>
        <v>233</v>
      </c>
      <c r="D887" s="3">
        <f t="shared" ref="D887:E887" si="870">D869</f>
        <v>1</v>
      </c>
      <c r="E887" s="3">
        <f t="shared" si="870"/>
        <v>4096</v>
      </c>
      <c r="F887" s="63" t="s">
        <v>230</v>
      </c>
      <c r="G887" s="63" t="s">
        <v>230</v>
      </c>
      <c r="H887" s="30">
        <f t="shared" si="861"/>
        <v>884</v>
      </c>
      <c r="I887" s="30"/>
    </row>
    <row r="888" spans="1:9">
      <c r="A888" s="30" t="s">
        <v>2589</v>
      </c>
      <c r="B888" s="30" t="s">
        <v>2590</v>
      </c>
      <c r="C888" s="3" t="str">
        <f t="shared" ref="C888:E888" si="871">C870</f>
        <v>0x00000000</v>
      </c>
      <c r="D888" s="3" t="str">
        <f t="shared" si="871"/>
        <v>0x80000000</v>
      </c>
      <c r="E888" s="3" t="str">
        <f t="shared" si="871"/>
        <v>0x7fffffff</v>
      </c>
      <c r="F888" s="63" t="s">
        <v>230</v>
      </c>
      <c r="G888" s="63" t="s">
        <v>1052</v>
      </c>
      <c r="H888" s="30">
        <f t="shared" si="861"/>
        <v>885</v>
      </c>
      <c r="I888" s="30"/>
    </row>
    <row r="889" spans="1:9">
      <c r="A889" s="30" t="s">
        <v>2591</v>
      </c>
      <c r="B889" s="30" t="s">
        <v>2592</v>
      </c>
      <c r="C889" s="3">
        <f t="shared" ref="C889:E889" si="872">C871</f>
        <v>0</v>
      </c>
      <c r="D889" s="3">
        <f t="shared" si="872"/>
        <v>0</v>
      </c>
      <c r="E889" s="3">
        <f t="shared" si="872"/>
        <v>65535</v>
      </c>
      <c r="F889" s="63" t="s">
        <v>230</v>
      </c>
      <c r="G889" s="63" t="s">
        <v>1052</v>
      </c>
      <c r="H889" s="30">
        <f t="shared" si="861"/>
        <v>886</v>
      </c>
      <c r="I889" s="30"/>
    </row>
    <row r="890" spans="1:9">
      <c r="A890" s="30" t="s">
        <v>2593</v>
      </c>
      <c r="B890" s="30" t="s">
        <v>2594</v>
      </c>
      <c r="C890" s="3">
        <f t="shared" ref="C890:E890" si="873">C872</f>
        <v>1</v>
      </c>
      <c r="D890" s="3">
        <f t="shared" si="873"/>
        <v>0</v>
      </c>
      <c r="E890" s="3">
        <f t="shared" si="873"/>
        <v>1</v>
      </c>
      <c r="F890" s="63" t="s">
        <v>230</v>
      </c>
      <c r="G890" s="63" t="s">
        <v>1052</v>
      </c>
      <c r="H890" s="30">
        <f t="shared" si="861"/>
        <v>887</v>
      </c>
      <c r="I890" s="30"/>
    </row>
    <row r="891" spans="1:9">
      <c r="A891" s="30" t="s">
        <v>2595</v>
      </c>
      <c r="B891" s="30" t="s">
        <v>2596</v>
      </c>
      <c r="C891" s="3">
        <f t="shared" ref="C891:E891" si="874">C873</f>
        <v>0</v>
      </c>
      <c r="D891" s="3">
        <f t="shared" si="874"/>
        <v>0</v>
      </c>
      <c r="E891" s="3">
        <f t="shared" si="874"/>
        <v>65535</v>
      </c>
      <c r="F891" s="63" t="s">
        <v>230</v>
      </c>
      <c r="G891" s="63" t="s">
        <v>1052</v>
      </c>
      <c r="H891" s="30">
        <f t="shared" si="861"/>
        <v>888</v>
      </c>
      <c r="I891" s="30"/>
    </row>
    <row r="892" spans="1:9">
      <c r="A892" s="30" t="s">
        <v>2597</v>
      </c>
      <c r="B892" s="30" t="s">
        <v>2598</v>
      </c>
      <c r="C892" s="3">
        <f t="shared" ref="C892:E892" si="875">C874</f>
        <v>0</v>
      </c>
      <c r="D892" s="3">
        <f t="shared" si="875"/>
        <v>0</v>
      </c>
      <c r="E892" s="3">
        <f t="shared" si="875"/>
        <v>1</v>
      </c>
      <c r="F892" s="63" t="s">
        <v>230</v>
      </c>
      <c r="G892" s="63" t="s">
        <v>1052</v>
      </c>
      <c r="H892" s="30">
        <f t="shared" si="861"/>
        <v>889</v>
      </c>
      <c r="I892" s="30"/>
    </row>
    <row r="893" spans="1:9">
      <c r="A893" s="30" t="s">
        <v>2599</v>
      </c>
      <c r="B893" s="30" t="s">
        <v>2600</v>
      </c>
      <c r="C893" s="3">
        <f t="shared" ref="C893:E893" si="876">C875</f>
        <v>1</v>
      </c>
      <c r="D893" s="3">
        <f t="shared" si="876"/>
        <v>0</v>
      </c>
      <c r="E893" s="3">
        <f t="shared" si="876"/>
        <v>2</v>
      </c>
      <c r="F893" s="63" t="s">
        <v>230</v>
      </c>
      <c r="G893" s="63" t="s">
        <v>1052</v>
      </c>
      <c r="H893" s="30">
        <f t="shared" si="861"/>
        <v>890</v>
      </c>
      <c r="I893" s="30"/>
    </row>
    <row r="894" spans="1:9">
      <c r="A894" s="30" t="s">
        <v>2601</v>
      </c>
      <c r="B894" s="30" t="s">
        <v>2602</v>
      </c>
      <c r="C894" s="3">
        <f t="shared" ref="C894:E894" si="877">C876</f>
        <v>0</v>
      </c>
      <c r="D894" s="3">
        <f t="shared" si="877"/>
        <v>0</v>
      </c>
      <c r="E894" s="3">
        <f t="shared" si="877"/>
        <v>3</v>
      </c>
      <c r="F894" s="63" t="s">
        <v>230</v>
      </c>
      <c r="G894" s="63" t="s">
        <v>1052</v>
      </c>
      <c r="H894" s="30">
        <f t="shared" si="861"/>
        <v>891</v>
      </c>
      <c r="I894" s="30"/>
    </row>
    <row r="895" spans="1:9">
      <c r="A895" s="30" t="s">
        <v>2603</v>
      </c>
      <c r="B895" s="30" t="s">
        <v>2604</v>
      </c>
      <c r="C895" s="3">
        <f t="shared" ref="C895:E895" si="878">C877</f>
        <v>0</v>
      </c>
      <c r="D895" s="3">
        <f t="shared" si="878"/>
        <v>0</v>
      </c>
      <c r="E895" s="3">
        <f t="shared" si="878"/>
        <v>3</v>
      </c>
      <c r="F895" s="63" t="s">
        <v>230</v>
      </c>
      <c r="G895" s="63" t="s">
        <v>1052</v>
      </c>
      <c r="H895" s="30">
        <f t="shared" si="861"/>
        <v>892</v>
      </c>
      <c r="I895" s="30"/>
    </row>
    <row r="896" spans="1:9">
      <c r="A896" s="30" t="s">
        <v>2605</v>
      </c>
      <c r="B896" s="30" t="s">
        <v>2606</v>
      </c>
      <c r="C896" s="3">
        <f t="shared" ref="C896:E896" si="879">C878</f>
        <v>0</v>
      </c>
      <c r="D896" s="3">
        <f t="shared" si="879"/>
        <v>0</v>
      </c>
      <c r="E896" s="3">
        <f t="shared" si="879"/>
        <v>3</v>
      </c>
      <c r="F896" s="63" t="s">
        <v>230</v>
      </c>
      <c r="G896" s="63" t="s">
        <v>1052</v>
      </c>
      <c r="H896" s="30">
        <f t="shared" si="861"/>
        <v>893</v>
      </c>
      <c r="I896" s="30"/>
    </row>
    <row r="897" spans="1:9">
      <c r="A897" s="30" t="s">
        <v>2607</v>
      </c>
      <c r="B897" s="30" t="s">
        <v>2702</v>
      </c>
      <c r="C897" s="3">
        <f t="shared" ref="C897:E897" si="880">C879</f>
        <v>0</v>
      </c>
      <c r="D897" s="3">
        <f t="shared" si="880"/>
        <v>0</v>
      </c>
      <c r="E897" s="3">
        <f t="shared" si="880"/>
        <v>1</v>
      </c>
      <c r="F897" s="63" t="s">
        <v>230</v>
      </c>
      <c r="G897" s="63" t="s">
        <v>1052</v>
      </c>
      <c r="H897" s="30">
        <f t="shared" si="861"/>
        <v>894</v>
      </c>
      <c r="I897" s="30"/>
    </row>
    <row r="898" spans="1:9">
      <c r="A898" s="30" t="s">
        <v>2608</v>
      </c>
      <c r="B898" s="30" t="s">
        <v>2609</v>
      </c>
      <c r="C898" s="3">
        <f t="shared" ref="C898:E898" si="881">C880</f>
        <v>0</v>
      </c>
      <c r="D898" s="3">
        <f t="shared" si="881"/>
        <v>0</v>
      </c>
      <c r="E898" s="3">
        <f t="shared" si="881"/>
        <v>1</v>
      </c>
      <c r="F898" s="63" t="s">
        <v>230</v>
      </c>
      <c r="G898" s="63" t="s">
        <v>1052</v>
      </c>
      <c r="H898" s="30">
        <f t="shared" si="861"/>
        <v>895</v>
      </c>
      <c r="I898" s="30"/>
    </row>
    <row r="899" spans="1:9">
      <c r="A899" s="30" t="s">
        <v>2610</v>
      </c>
      <c r="B899" s="30" t="s">
        <v>2611</v>
      </c>
      <c r="C899" s="3">
        <f t="shared" ref="C899:E899" si="882">C881</f>
        <v>0</v>
      </c>
      <c r="D899" s="3">
        <f t="shared" si="882"/>
        <v>0</v>
      </c>
      <c r="E899" s="3">
        <f t="shared" si="882"/>
        <v>4</v>
      </c>
      <c r="F899" s="63" t="s">
        <v>230</v>
      </c>
      <c r="G899" s="63" t="s">
        <v>1052</v>
      </c>
      <c r="H899" s="30">
        <f t="shared" si="861"/>
        <v>896</v>
      </c>
      <c r="I899" s="30"/>
    </row>
    <row r="900" spans="1:9">
      <c r="A900" s="30" t="s">
        <v>2612</v>
      </c>
      <c r="B900" s="30" t="s">
        <v>2613</v>
      </c>
      <c r="C900" s="3" t="str">
        <f t="shared" ref="C900:E900" si="883">C882</f>
        <v>(空文字)</v>
      </c>
      <c r="D900" s="3" t="str">
        <f t="shared" si="883"/>
        <v>(空文字)</v>
      </c>
      <c r="E900" s="3" t="str">
        <f t="shared" si="883"/>
        <v>(空文字)</v>
      </c>
      <c r="F900" s="63" t="s">
        <v>230</v>
      </c>
      <c r="G900" s="63" t="s">
        <v>1052</v>
      </c>
      <c r="H900" s="30">
        <f t="shared" si="861"/>
        <v>897</v>
      </c>
      <c r="I900" s="30"/>
    </row>
    <row r="901" spans="1:9">
      <c r="A901" s="30" t="s">
        <v>2614</v>
      </c>
      <c r="B901" s="30" t="s">
        <v>2615</v>
      </c>
      <c r="C901" s="3" t="str">
        <f t="shared" ref="C901:E901" si="884">C883</f>
        <v>(空文字)</v>
      </c>
      <c r="D901" s="3" t="str">
        <f t="shared" si="884"/>
        <v>(空文字)</v>
      </c>
      <c r="E901" s="3" t="str">
        <f t="shared" si="884"/>
        <v>(空文字)</v>
      </c>
      <c r="F901" s="63" t="s">
        <v>230</v>
      </c>
      <c r="G901" s="63" t="s">
        <v>1052</v>
      </c>
      <c r="H901" s="30">
        <f t="shared" si="861"/>
        <v>898</v>
      </c>
      <c r="I901" s="30"/>
    </row>
    <row r="902" spans="1:9">
      <c r="A902" s="30" t="s">
        <v>2616</v>
      </c>
      <c r="B902" s="30" t="s">
        <v>2617</v>
      </c>
      <c r="C902" s="3">
        <f t="shared" ref="C902:E902" si="885">C884</f>
        <v>0</v>
      </c>
      <c r="D902" s="3">
        <f t="shared" si="885"/>
        <v>0</v>
      </c>
      <c r="E902" s="3">
        <f t="shared" si="885"/>
        <v>3</v>
      </c>
      <c r="F902" s="63" t="s">
        <v>230</v>
      </c>
      <c r="G902" s="63" t="s">
        <v>1052</v>
      </c>
      <c r="H902" s="30">
        <f t="shared" si="861"/>
        <v>899</v>
      </c>
      <c r="I902" s="30"/>
    </row>
    <row r="903" spans="1:9">
      <c r="A903" s="30" t="s">
        <v>3964</v>
      </c>
      <c r="B903" s="30" t="s">
        <v>4064</v>
      </c>
      <c r="C903" s="3">
        <f t="shared" ref="C903:E903" si="886">C885</f>
        <v>10000</v>
      </c>
      <c r="D903" s="3">
        <f t="shared" si="886"/>
        <v>1000</v>
      </c>
      <c r="E903" s="3">
        <f t="shared" si="886"/>
        <v>99999000</v>
      </c>
      <c r="F903" s="63" t="s">
        <v>230</v>
      </c>
      <c r="G903" s="63" t="s">
        <v>1052</v>
      </c>
      <c r="H903" s="30">
        <f t="shared" si="861"/>
        <v>900</v>
      </c>
      <c r="I903" s="30"/>
    </row>
    <row r="904" spans="1:9">
      <c r="A904" s="30" t="s">
        <v>4118</v>
      </c>
      <c r="B904" s="30" t="s">
        <v>4065</v>
      </c>
      <c r="C904" s="3">
        <f t="shared" ref="C904:E904" si="887">C886</f>
        <v>0</v>
      </c>
      <c r="D904" s="3">
        <f t="shared" si="887"/>
        <v>0</v>
      </c>
      <c r="E904" s="3">
        <f t="shared" si="887"/>
        <v>1</v>
      </c>
      <c r="F904" s="63" t="s">
        <v>230</v>
      </c>
      <c r="G904" s="63" t="s">
        <v>1052</v>
      </c>
      <c r="H904" s="30">
        <f t="shared" si="861"/>
        <v>901</v>
      </c>
      <c r="I904" s="30"/>
    </row>
    <row r="905" spans="1:9">
      <c r="A905" s="30" t="s">
        <v>2618</v>
      </c>
      <c r="B905" s="30" t="s">
        <v>2619</v>
      </c>
      <c r="C905" s="62">
        <f t="shared" si="832"/>
        <v>234</v>
      </c>
      <c r="D905" s="3">
        <f t="shared" ref="D905:E905" si="888">D887</f>
        <v>1</v>
      </c>
      <c r="E905" s="3">
        <f t="shared" si="888"/>
        <v>4096</v>
      </c>
      <c r="F905" s="63" t="s">
        <v>230</v>
      </c>
      <c r="G905" s="63" t="s">
        <v>230</v>
      </c>
      <c r="H905" s="30">
        <f t="shared" si="861"/>
        <v>902</v>
      </c>
      <c r="I905" s="30"/>
    </row>
    <row r="906" spans="1:9">
      <c r="A906" s="30" t="s">
        <v>2620</v>
      </c>
      <c r="B906" s="30" t="s">
        <v>2621</v>
      </c>
      <c r="C906" s="3" t="str">
        <f t="shared" ref="C906:E906" si="889">C888</f>
        <v>0x00000000</v>
      </c>
      <c r="D906" s="3" t="str">
        <f t="shared" si="889"/>
        <v>0x80000000</v>
      </c>
      <c r="E906" s="3" t="str">
        <f t="shared" si="889"/>
        <v>0x7fffffff</v>
      </c>
      <c r="F906" s="63" t="s">
        <v>230</v>
      </c>
      <c r="G906" s="63" t="s">
        <v>1052</v>
      </c>
      <c r="H906" s="30">
        <f t="shared" si="861"/>
        <v>903</v>
      </c>
      <c r="I906" s="30"/>
    </row>
    <row r="907" spans="1:9">
      <c r="A907" s="30" t="s">
        <v>2622</v>
      </c>
      <c r="B907" s="30" t="s">
        <v>2623</v>
      </c>
      <c r="C907" s="3">
        <f t="shared" ref="C907:E907" si="890">C889</f>
        <v>0</v>
      </c>
      <c r="D907" s="3">
        <f t="shared" si="890"/>
        <v>0</v>
      </c>
      <c r="E907" s="3">
        <f t="shared" si="890"/>
        <v>65535</v>
      </c>
      <c r="F907" s="63" t="s">
        <v>230</v>
      </c>
      <c r="G907" s="63" t="s">
        <v>1052</v>
      </c>
      <c r="H907" s="30">
        <f t="shared" si="861"/>
        <v>904</v>
      </c>
      <c r="I907" s="30"/>
    </row>
    <row r="908" spans="1:9">
      <c r="A908" s="30" t="s">
        <v>2624</v>
      </c>
      <c r="B908" s="30" t="s">
        <v>2625</v>
      </c>
      <c r="C908" s="3">
        <f t="shared" ref="C908:E908" si="891">C890</f>
        <v>1</v>
      </c>
      <c r="D908" s="3">
        <f t="shared" si="891"/>
        <v>0</v>
      </c>
      <c r="E908" s="3">
        <f t="shared" si="891"/>
        <v>1</v>
      </c>
      <c r="F908" s="63" t="s">
        <v>230</v>
      </c>
      <c r="G908" s="63" t="s">
        <v>1052</v>
      </c>
      <c r="H908" s="30">
        <f t="shared" si="861"/>
        <v>905</v>
      </c>
      <c r="I908" s="30"/>
    </row>
    <row r="909" spans="1:9">
      <c r="A909" s="30" t="s">
        <v>2626</v>
      </c>
      <c r="B909" s="30" t="s">
        <v>2627</v>
      </c>
      <c r="C909" s="3">
        <f t="shared" ref="C909:E909" si="892">C891</f>
        <v>0</v>
      </c>
      <c r="D909" s="3">
        <f t="shared" si="892"/>
        <v>0</v>
      </c>
      <c r="E909" s="3">
        <f t="shared" si="892"/>
        <v>65535</v>
      </c>
      <c r="F909" s="63" t="s">
        <v>230</v>
      </c>
      <c r="G909" s="63" t="s">
        <v>1052</v>
      </c>
      <c r="H909" s="30">
        <f t="shared" si="861"/>
        <v>906</v>
      </c>
      <c r="I909" s="30"/>
    </row>
    <row r="910" spans="1:9">
      <c r="A910" s="30" t="s">
        <v>2628</v>
      </c>
      <c r="B910" s="30" t="s">
        <v>2629</v>
      </c>
      <c r="C910" s="3">
        <f t="shared" ref="C910:E910" si="893">C892</f>
        <v>0</v>
      </c>
      <c r="D910" s="3">
        <f t="shared" si="893"/>
        <v>0</v>
      </c>
      <c r="E910" s="3">
        <f t="shared" si="893"/>
        <v>1</v>
      </c>
      <c r="F910" s="63" t="s">
        <v>230</v>
      </c>
      <c r="G910" s="63" t="s">
        <v>1052</v>
      </c>
      <c r="H910" s="30">
        <f t="shared" si="861"/>
        <v>907</v>
      </c>
      <c r="I910" s="30"/>
    </row>
    <row r="911" spans="1:9">
      <c r="A911" s="30" t="s">
        <v>2630</v>
      </c>
      <c r="B911" s="30" t="s">
        <v>2631</v>
      </c>
      <c r="C911" s="3">
        <f t="shared" ref="C911:E911" si="894">C893</f>
        <v>1</v>
      </c>
      <c r="D911" s="3">
        <f t="shared" si="894"/>
        <v>0</v>
      </c>
      <c r="E911" s="3">
        <f t="shared" si="894"/>
        <v>2</v>
      </c>
      <c r="F911" s="63" t="s">
        <v>230</v>
      </c>
      <c r="G911" s="63" t="s">
        <v>1052</v>
      </c>
      <c r="H911" s="30">
        <f t="shared" si="861"/>
        <v>908</v>
      </c>
      <c r="I911" s="30"/>
    </row>
    <row r="912" spans="1:9">
      <c r="A912" s="30" t="s">
        <v>2632</v>
      </c>
      <c r="B912" s="30" t="s">
        <v>2633</v>
      </c>
      <c r="C912" s="3">
        <f t="shared" ref="C912:E912" si="895">C894</f>
        <v>0</v>
      </c>
      <c r="D912" s="3">
        <f t="shared" si="895"/>
        <v>0</v>
      </c>
      <c r="E912" s="3">
        <f t="shared" si="895"/>
        <v>3</v>
      </c>
      <c r="F912" s="63" t="s">
        <v>230</v>
      </c>
      <c r="G912" s="63" t="s">
        <v>1052</v>
      </c>
      <c r="H912" s="30">
        <f t="shared" si="861"/>
        <v>909</v>
      </c>
      <c r="I912" s="30"/>
    </row>
    <row r="913" spans="1:9">
      <c r="A913" s="30" t="s">
        <v>2634</v>
      </c>
      <c r="B913" s="30" t="s">
        <v>2635</v>
      </c>
      <c r="C913" s="3">
        <f t="shared" ref="C913:E913" si="896">C895</f>
        <v>0</v>
      </c>
      <c r="D913" s="3">
        <f t="shared" si="896"/>
        <v>0</v>
      </c>
      <c r="E913" s="3">
        <f t="shared" si="896"/>
        <v>3</v>
      </c>
      <c r="F913" s="63" t="s">
        <v>230</v>
      </c>
      <c r="G913" s="63" t="s">
        <v>1052</v>
      </c>
      <c r="H913" s="30">
        <f t="shared" si="861"/>
        <v>910</v>
      </c>
      <c r="I913" s="30"/>
    </row>
    <row r="914" spans="1:9">
      <c r="A914" s="30" t="s">
        <v>2636</v>
      </c>
      <c r="B914" s="30" t="s">
        <v>2637</v>
      </c>
      <c r="C914" s="3">
        <f t="shared" ref="C914:E914" si="897">C896</f>
        <v>0</v>
      </c>
      <c r="D914" s="3">
        <f t="shared" si="897"/>
        <v>0</v>
      </c>
      <c r="E914" s="3">
        <f t="shared" si="897"/>
        <v>3</v>
      </c>
      <c r="F914" s="63" t="s">
        <v>230</v>
      </c>
      <c r="G914" s="63" t="s">
        <v>1052</v>
      </c>
      <c r="H914" s="30">
        <f t="shared" si="861"/>
        <v>911</v>
      </c>
      <c r="I914" s="30"/>
    </row>
    <row r="915" spans="1:9">
      <c r="A915" s="30" t="s">
        <v>2638</v>
      </c>
      <c r="B915" s="30" t="s">
        <v>2703</v>
      </c>
      <c r="C915" s="3">
        <f t="shared" ref="C915:E915" si="898">C897</f>
        <v>0</v>
      </c>
      <c r="D915" s="3">
        <f t="shared" si="898"/>
        <v>0</v>
      </c>
      <c r="E915" s="3">
        <f t="shared" si="898"/>
        <v>1</v>
      </c>
      <c r="F915" s="63" t="s">
        <v>230</v>
      </c>
      <c r="G915" s="63" t="s">
        <v>1052</v>
      </c>
      <c r="H915" s="30">
        <f t="shared" si="861"/>
        <v>912</v>
      </c>
      <c r="I915" s="30"/>
    </row>
    <row r="916" spans="1:9">
      <c r="A916" s="30" t="s">
        <v>2639</v>
      </c>
      <c r="B916" s="30" t="s">
        <v>2640</v>
      </c>
      <c r="C916" s="3">
        <f t="shared" ref="C916:E916" si="899">C898</f>
        <v>0</v>
      </c>
      <c r="D916" s="3">
        <f t="shared" si="899"/>
        <v>0</v>
      </c>
      <c r="E916" s="3">
        <f t="shared" si="899"/>
        <v>1</v>
      </c>
      <c r="F916" s="63" t="s">
        <v>230</v>
      </c>
      <c r="G916" s="63" t="s">
        <v>1052</v>
      </c>
      <c r="H916" s="30">
        <f t="shared" si="861"/>
        <v>913</v>
      </c>
      <c r="I916" s="30"/>
    </row>
    <row r="917" spans="1:9">
      <c r="A917" s="30" t="s">
        <v>2641</v>
      </c>
      <c r="B917" s="30" t="s">
        <v>2642</v>
      </c>
      <c r="C917" s="3">
        <f t="shared" ref="C917:E917" si="900">C899</f>
        <v>0</v>
      </c>
      <c r="D917" s="3">
        <f t="shared" si="900"/>
        <v>0</v>
      </c>
      <c r="E917" s="3">
        <f t="shared" si="900"/>
        <v>4</v>
      </c>
      <c r="F917" s="63" t="s">
        <v>230</v>
      </c>
      <c r="G917" s="63" t="s">
        <v>1052</v>
      </c>
      <c r="H917" s="30">
        <f t="shared" si="861"/>
        <v>914</v>
      </c>
      <c r="I917" s="30"/>
    </row>
    <row r="918" spans="1:9">
      <c r="A918" s="30" t="s">
        <v>2643</v>
      </c>
      <c r="B918" s="30" t="s">
        <v>2644</v>
      </c>
      <c r="C918" s="3" t="str">
        <f t="shared" ref="C918:E918" si="901">C900</f>
        <v>(空文字)</v>
      </c>
      <c r="D918" s="3" t="str">
        <f t="shared" si="901"/>
        <v>(空文字)</v>
      </c>
      <c r="E918" s="3" t="str">
        <f t="shared" si="901"/>
        <v>(空文字)</v>
      </c>
      <c r="F918" s="63" t="s">
        <v>230</v>
      </c>
      <c r="G918" s="63" t="s">
        <v>1052</v>
      </c>
      <c r="H918" s="30">
        <f t="shared" si="861"/>
        <v>915</v>
      </c>
      <c r="I918" s="30"/>
    </row>
    <row r="919" spans="1:9">
      <c r="A919" s="30" t="s">
        <v>2645</v>
      </c>
      <c r="B919" s="30" t="s">
        <v>2646</v>
      </c>
      <c r="C919" s="3" t="str">
        <f t="shared" ref="C919:E919" si="902">C901</f>
        <v>(空文字)</v>
      </c>
      <c r="D919" s="3" t="str">
        <f t="shared" si="902"/>
        <v>(空文字)</v>
      </c>
      <c r="E919" s="3" t="str">
        <f t="shared" si="902"/>
        <v>(空文字)</v>
      </c>
      <c r="F919" s="63" t="s">
        <v>230</v>
      </c>
      <c r="G919" s="63" t="s">
        <v>1052</v>
      </c>
      <c r="H919" s="30">
        <f t="shared" si="861"/>
        <v>916</v>
      </c>
      <c r="I919" s="30"/>
    </row>
    <row r="920" spans="1:9">
      <c r="A920" s="30" t="s">
        <v>2647</v>
      </c>
      <c r="B920" s="30" t="s">
        <v>2648</v>
      </c>
      <c r="C920" s="3">
        <f t="shared" ref="C920:E920" si="903">C902</f>
        <v>0</v>
      </c>
      <c r="D920" s="3">
        <f t="shared" si="903"/>
        <v>0</v>
      </c>
      <c r="E920" s="3">
        <f t="shared" si="903"/>
        <v>3</v>
      </c>
      <c r="F920" s="63" t="s">
        <v>230</v>
      </c>
      <c r="G920" s="63" t="s">
        <v>1052</v>
      </c>
      <c r="H920" s="30">
        <f t="shared" si="861"/>
        <v>917</v>
      </c>
      <c r="I920" s="30"/>
    </row>
    <row r="921" spans="1:9">
      <c r="A921" s="30" t="s">
        <v>3965</v>
      </c>
      <c r="B921" s="30" t="s">
        <v>4066</v>
      </c>
      <c r="C921" s="3">
        <f t="shared" ref="C921:E921" si="904">C903</f>
        <v>10000</v>
      </c>
      <c r="D921" s="3">
        <f t="shared" si="904"/>
        <v>1000</v>
      </c>
      <c r="E921" s="3">
        <f t="shared" si="904"/>
        <v>99999000</v>
      </c>
      <c r="F921" s="63" t="s">
        <v>230</v>
      </c>
      <c r="G921" s="63" t="s">
        <v>1052</v>
      </c>
      <c r="H921" s="30">
        <f t="shared" si="861"/>
        <v>918</v>
      </c>
      <c r="I921" s="30"/>
    </row>
    <row r="922" spans="1:9">
      <c r="A922" s="30" t="s">
        <v>4119</v>
      </c>
      <c r="B922" s="30" t="s">
        <v>4067</v>
      </c>
      <c r="C922" s="3">
        <f t="shared" ref="C922:E922" si="905">C904</f>
        <v>0</v>
      </c>
      <c r="D922" s="3">
        <f t="shared" si="905"/>
        <v>0</v>
      </c>
      <c r="E922" s="3">
        <f t="shared" si="905"/>
        <v>1</v>
      </c>
      <c r="F922" s="63" t="s">
        <v>230</v>
      </c>
      <c r="G922" s="63" t="s">
        <v>1052</v>
      </c>
      <c r="H922" s="30">
        <f t="shared" si="861"/>
        <v>919</v>
      </c>
      <c r="I922" s="30"/>
    </row>
    <row r="923" spans="1:9">
      <c r="A923" s="30" t="s">
        <v>4208</v>
      </c>
      <c r="B923" s="30" t="s">
        <v>4203</v>
      </c>
      <c r="C923" s="3">
        <v>1</v>
      </c>
      <c r="D923" s="3">
        <v>0</v>
      </c>
      <c r="E923" s="3">
        <v>1</v>
      </c>
      <c r="F923" s="63" t="s">
        <v>230</v>
      </c>
      <c r="G923" s="63" t="s">
        <v>230</v>
      </c>
      <c r="H923" s="30">
        <f t="shared" si="861"/>
        <v>920</v>
      </c>
      <c r="I923" s="30"/>
    </row>
    <row r="924" spans="1:9">
      <c r="A924" s="30" t="s">
        <v>4135</v>
      </c>
      <c r="B924" s="30" t="s">
        <v>4202</v>
      </c>
      <c r="C924" s="3" t="s">
        <v>812</v>
      </c>
      <c r="D924" s="3" t="s">
        <v>195</v>
      </c>
      <c r="E924" s="3" t="s">
        <v>228</v>
      </c>
      <c r="F924" s="2" t="s">
        <v>230</v>
      </c>
      <c r="G924" s="2" t="s">
        <v>230</v>
      </c>
      <c r="H924" s="30">
        <f t="shared" si="861"/>
        <v>921</v>
      </c>
      <c r="I924" s="30" t="s">
        <v>4209</v>
      </c>
    </row>
    <row r="925" spans="1:9">
      <c r="A925" s="30" t="s">
        <v>4136</v>
      </c>
      <c r="B925" s="30" t="s">
        <v>4137</v>
      </c>
      <c r="C925" s="3">
        <v>0</v>
      </c>
      <c r="D925" s="3">
        <v>0</v>
      </c>
      <c r="E925" s="3">
        <v>65535</v>
      </c>
      <c r="F925" s="2" t="s">
        <v>230</v>
      </c>
      <c r="G925" s="2" t="s">
        <v>230</v>
      </c>
      <c r="H925" s="30">
        <f t="shared" si="861"/>
        <v>922</v>
      </c>
      <c r="I925" s="30" t="s">
        <v>4209</v>
      </c>
    </row>
    <row r="926" spans="1:9">
      <c r="A926" s="30" t="s">
        <v>4138</v>
      </c>
      <c r="B926" s="30" t="s">
        <v>4139</v>
      </c>
      <c r="C926" s="3">
        <v>1</v>
      </c>
      <c r="D926" s="3">
        <v>0</v>
      </c>
      <c r="E926" s="3">
        <v>1</v>
      </c>
      <c r="F926" s="2" t="s">
        <v>230</v>
      </c>
      <c r="G926" s="2" t="s">
        <v>230</v>
      </c>
      <c r="H926" s="30">
        <f t="shared" si="861"/>
        <v>923</v>
      </c>
      <c r="I926" s="30" t="s">
        <v>4209</v>
      </c>
    </row>
    <row r="927" spans="1:9">
      <c r="A927" s="30" t="s">
        <v>4140</v>
      </c>
      <c r="B927" s="30" t="s">
        <v>4141</v>
      </c>
      <c r="C927" s="3">
        <v>0</v>
      </c>
      <c r="D927" s="3">
        <v>0</v>
      </c>
      <c r="E927" s="3">
        <v>65535</v>
      </c>
      <c r="F927" s="2" t="s">
        <v>230</v>
      </c>
      <c r="G927" s="2" t="s">
        <v>230</v>
      </c>
      <c r="H927" s="30">
        <f t="shared" si="861"/>
        <v>924</v>
      </c>
      <c r="I927" s="30" t="s">
        <v>4209</v>
      </c>
    </row>
    <row r="928" spans="1:9">
      <c r="A928" s="30" t="s">
        <v>4142</v>
      </c>
      <c r="B928" s="30" t="s">
        <v>4143</v>
      </c>
      <c r="C928" s="3">
        <v>0</v>
      </c>
      <c r="D928" s="3">
        <v>0</v>
      </c>
      <c r="E928" s="3">
        <v>1</v>
      </c>
      <c r="F928" s="2" t="s">
        <v>230</v>
      </c>
      <c r="G928" s="2" t="s">
        <v>230</v>
      </c>
      <c r="H928" s="30">
        <f t="shared" si="861"/>
        <v>925</v>
      </c>
      <c r="I928" s="30" t="s">
        <v>4209</v>
      </c>
    </row>
    <row r="929" spans="1:9">
      <c r="A929" s="30" t="s">
        <v>4144</v>
      </c>
      <c r="B929" s="30" t="s">
        <v>4145</v>
      </c>
      <c r="C929" s="3">
        <v>1</v>
      </c>
      <c r="D929" s="3">
        <v>0</v>
      </c>
      <c r="E929" s="3">
        <v>2</v>
      </c>
      <c r="F929" s="2" t="s">
        <v>230</v>
      </c>
      <c r="G929" s="2" t="s">
        <v>230</v>
      </c>
      <c r="H929" s="30">
        <f t="shared" si="861"/>
        <v>926</v>
      </c>
      <c r="I929" s="30" t="s">
        <v>4209</v>
      </c>
    </row>
    <row r="930" spans="1:9">
      <c r="A930" s="30" t="s">
        <v>4146</v>
      </c>
      <c r="B930" s="30" t="s">
        <v>4147</v>
      </c>
      <c r="C930" s="3">
        <v>0</v>
      </c>
      <c r="D930" s="3">
        <v>0</v>
      </c>
      <c r="E930" s="3">
        <v>3</v>
      </c>
      <c r="F930" s="2" t="s">
        <v>230</v>
      </c>
      <c r="G930" s="2" t="s">
        <v>230</v>
      </c>
      <c r="H930" s="30">
        <f t="shared" si="861"/>
        <v>927</v>
      </c>
      <c r="I930" s="30" t="s">
        <v>4209</v>
      </c>
    </row>
    <row r="931" spans="1:9">
      <c r="A931" s="30" t="s">
        <v>4148</v>
      </c>
      <c r="B931" s="30" t="s">
        <v>4149</v>
      </c>
      <c r="C931" s="3">
        <v>0</v>
      </c>
      <c r="D931" s="3">
        <v>0</v>
      </c>
      <c r="E931" s="3">
        <v>3</v>
      </c>
      <c r="F931" s="2" t="s">
        <v>230</v>
      </c>
      <c r="G931" s="2" t="s">
        <v>230</v>
      </c>
      <c r="H931" s="30">
        <f t="shared" si="861"/>
        <v>928</v>
      </c>
      <c r="I931" s="30" t="s">
        <v>4209</v>
      </c>
    </row>
    <row r="932" spans="1:9">
      <c r="A932" s="30" t="s">
        <v>4150</v>
      </c>
      <c r="B932" s="30" t="s">
        <v>4151</v>
      </c>
      <c r="C932" s="3">
        <v>0</v>
      </c>
      <c r="D932" s="3">
        <v>0</v>
      </c>
      <c r="E932" s="3">
        <v>3</v>
      </c>
      <c r="F932" s="2" t="s">
        <v>230</v>
      </c>
      <c r="G932" s="2" t="s">
        <v>230</v>
      </c>
      <c r="H932" s="30">
        <f t="shared" si="861"/>
        <v>929</v>
      </c>
      <c r="I932" s="30" t="s">
        <v>4209</v>
      </c>
    </row>
    <row r="933" spans="1:9">
      <c r="A933" s="30" t="s">
        <v>4152</v>
      </c>
      <c r="B933" s="30" t="s">
        <v>4153</v>
      </c>
      <c r="C933" s="3">
        <v>0</v>
      </c>
      <c r="D933" s="3">
        <v>0</v>
      </c>
      <c r="E933" s="3">
        <v>1</v>
      </c>
      <c r="F933" s="2" t="s">
        <v>230</v>
      </c>
      <c r="G933" s="2" t="s">
        <v>230</v>
      </c>
      <c r="H933" s="30">
        <f t="shared" si="861"/>
        <v>930</v>
      </c>
      <c r="I933" s="30" t="s">
        <v>4209</v>
      </c>
    </row>
    <row r="934" spans="1:9">
      <c r="A934" s="30" t="s">
        <v>4154</v>
      </c>
      <c r="B934" s="30" t="s">
        <v>4155</v>
      </c>
      <c r="C934" s="3">
        <v>0</v>
      </c>
      <c r="D934" s="3">
        <v>0</v>
      </c>
      <c r="E934" s="3">
        <v>1</v>
      </c>
      <c r="F934" s="2" t="s">
        <v>230</v>
      </c>
      <c r="G934" s="2" t="s">
        <v>230</v>
      </c>
      <c r="H934" s="30">
        <f t="shared" si="861"/>
        <v>931</v>
      </c>
      <c r="I934" s="30" t="s">
        <v>4209</v>
      </c>
    </row>
    <row r="935" spans="1:9">
      <c r="A935" s="30" t="s">
        <v>4156</v>
      </c>
      <c r="B935" s="30" t="s">
        <v>4157</v>
      </c>
      <c r="C935" s="3">
        <v>0</v>
      </c>
      <c r="D935" s="3">
        <v>0</v>
      </c>
      <c r="E935" s="3">
        <v>4</v>
      </c>
      <c r="F935" s="2" t="s">
        <v>230</v>
      </c>
      <c r="G935" s="2" t="s">
        <v>230</v>
      </c>
      <c r="H935" s="30">
        <f t="shared" si="861"/>
        <v>932</v>
      </c>
      <c r="I935" s="30" t="s">
        <v>4209</v>
      </c>
    </row>
    <row r="936" spans="1:9">
      <c r="A936" s="30" t="s">
        <v>4158</v>
      </c>
      <c r="B936" s="30" t="s">
        <v>4159</v>
      </c>
      <c r="C936" s="3" t="s">
        <v>186</v>
      </c>
      <c r="D936" s="3" t="s">
        <v>186</v>
      </c>
      <c r="E936" s="3" t="s">
        <v>186</v>
      </c>
      <c r="F936" s="2" t="s">
        <v>230</v>
      </c>
      <c r="G936" s="2" t="s">
        <v>230</v>
      </c>
      <c r="H936" s="30">
        <f t="shared" si="861"/>
        <v>933</v>
      </c>
      <c r="I936" s="30" t="s">
        <v>4209</v>
      </c>
    </row>
    <row r="937" spans="1:9">
      <c r="A937" s="30" t="s">
        <v>4160</v>
      </c>
      <c r="B937" s="30" t="s">
        <v>4161</v>
      </c>
      <c r="C937" s="3" t="s">
        <v>186</v>
      </c>
      <c r="D937" s="3" t="s">
        <v>186</v>
      </c>
      <c r="E937" s="3" t="s">
        <v>186</v>
      </c>
      <c r="F937" s="2" t="s">
        <v>230</v>
      </c>
      <c r="G937" s="2" t="s">
        <v>230</v>
      </c>
      <c r="H937" s="30">
        <f t="shared" si="861"/>
        <v>934</v>
      </c>
      <c r="I937" s="30" t="s">
        <v>4209</v>
      </c>
    </row>
    <row r="938" spans="1:9">
      <c r="A938" s="30" t="s">
        <v>4162</v>
      </c>
      <c r="B938" s="30" t="s">
        <v>4163</v>
      </c>
      <c r="C938" s="3">
        <v>0</v>
      </c>
      <c r="D938" s="3">
        <v>0</v>
      </c>
      <c r="E938" s="3">
        <v>3</v>
      </c>
      <c r="F938" s="2" t="s">
        <v>230</v>
      </c>
      <c r="G938" s="2" t="s">
        <v>230</v>
      </c>
      <c r="H938" s="30">
        <f t="shared" si="861"/>
        <v>935</v>
      </c>
      <c r="I938" s="30" t="s">
        <v>4209</v>
      </c>
    </row>
    <row r="939" spans="1:9">
      <c r="A939" s="30" t="s">
        <v>4164</v>
      </c>
      <c r="B939" s="30" t="s">
        <v>4165</v>
      </c>
      <c r="C939" s="3">
        <v>10000</v>
      </c>
      <c r="D939" s="3">
        <v>1000</v>
      </c>
      <c r="E939" s="3">
        <v>99999000</v>
      </c>
      <c r="F939" s="2" t="s">
        <v>230</v>
      </c>
      <c r="G939" s="2" t="s">
        <v>230</v>
      </c>
      <c r="H939" s="30">
        <f t="shared" si="861"/>
        <v>936</v>
      </c>
      <c r="I939" s="30"/>
    </row>
    <row r="940" spans="1:9">
      <c r="A940" s="30" t="s">
        <v>4166</v>
      </c>
      <c r="B940" s="30" t="s">
        <v>4167</v>
      </c>
      <c r="C940" s="3">
        <v>0</v>
      </c>
      <c r="D940" s="3">
        <v>0</v>
      </c>
      <c r="E940" s="3">
        <v>1</v>
      </c>
      <c r="F940" s="2" t="s">
        <v>230</v>
      </c>
      <c r="G940" s="2" t="s">
        <v>230</v>
      </c>
      <c r="H940" s="30">
        <f t="shared" si="861"/>
        <v>937</v>
      </c>
      <c r="I940" s="30"/>
    </row>
    <row r="941" spans="1:9">
      <c r="A941" s="30" t="s">
        <v>4207</v>
      </c>
      <c r="B941" s="30" t="s">
        <v>4205</v>
      </c>
      <c r="C941" s="3">
        <v>1</v>
      </c>
      <c r="D941" s="3">
        <v>0</v>
      </c>
      <c r="E941" s="3">
        <v>1</v>
      </c>
      <c r="F941" s="63" t="s">
        <v>230</v>
      </c>
      <c r="G941" s="63" t="s">
        <v>230</v>
      </c>
      <c r="H941" s="30">
        <f t="shared" si="861"/>
        <v>938</v>
      </c>
      <c r="I941" s="30"/>
    </row>
    <row r="942" spans="1:9">
      <c r="A942" s="30" t="s">
        <v>4206</v>
      </c>
      <c r="B942" s="30" t="s">
        <v>4204</v>
      </c>
      <c r="C942" s="3" t="s">
        <v>812</v>
      </c>
      <c r="D942" s="3" t="s">
        <v>195</v>
      </c>
      <c r="E942" s="3" t="s">
        <v>228</v>
      </c>
      <c r="F942" s="2" t="s">
        <v>230</v>
      </c>
      <c r="G942" s="2" t="s">
        <v>230</v>
      </c>
      <c r="H942" s="30">
        <f t="shared" si="861"/>
        <v>939</v>
      </c>
      <c r="I942" s="30" t="s">
        <v>4210</v>
      </c>
    </row>
    <row r="943" spans="1:9">
      <c r="A943" s="30" t="s">
        <v>4168</v>
      </c>
      <c r="B943" s="30" t="s">
        <v>4169</v>
      </c>
      <c r="C943" s="3">
        <v>3001</v>
      </c>
      <c r="D943" s="3">
        <v>0</v>
      </c>
      <c r="E943" s="3">
        <v>65535</v>
      </c>
      <c r="F943" s="2" t="s">
        <v>230</v>
      </c>
      <c r="G943" s="2" t="s">
        <v>230</v>
      </c>
      <c r="H943" s="30">
        <f t="shared" si="861"/>
        <v>940</v>
      </c>
      <c r="I943" s="30" t="s">
        <v>4210</v>
      </c>
    </row>
    <row r="944" spans="1:9">
      <c r="A944" s="30" t="s">
        <v>4170</v>
      </c>
      <c r="B944" s="30" t="s">
        <v>4171</v>
      </c>
      <c r="C944" s="3">
        <v>1</v>
      </c>
      <c r="D944" s="3">
        <v>0</v>
      </c>
      <c r="E944" s="3">
        <v>1</v>
      </c>
      <c r="F944" s="2" t="s">
        <v>230</v>
      </c>
      <c r="G944" s="2" t="s">
        <v>230</v>
      </c>
      <c r="H944" s="30">
        <f t="shared" ref="H944:H958" si="906">ROW()-3</f>
        <v>941</v>
      </c>
      <c r="I944" s="30"/>
    </row>
    <row r="945" spans="1:9">
      <c r="A945" s="30" t="s">
        <v>4172</v>
      </c>
      <c r="B945" s="30" t="s">
        <v>4173</v>
      </c>
      <c r="C945" s="3">
        <v>0</v>
      </c>
      <c r="D945" s="3">
        <v>0</v>
      </c>
      <c r="E945" s="3">
        <v>65535</v>
      </c>
      <c r="F945" s="2" t="s">
        <v>230</v>
      </c>
      <c r="G945" s="2" t="s">
        <v>230</v>
      </c>
      <c r="H945" s="30">
        <f t="shared" si="906"/>
        <v>942</v>
      </c>
      <c r="I945" s="30"/>
    </row>
    <row r="946" spans="1:9">
      <c r="A946" s="30" t="s">
        <v>4174</v>
      </c>
      <c r="B946" s="30" t="s">
        <v>4175</v>
      </c>
      <c r="C946" s="3">
        <v>0</v>
      </c>
      <c r="D946" s="3">
        <v>0</v>
      </c>
      <c r="E946" s="3">
        <v>1</v>
      </c>
      <c r="F946" s="2" t="s">
        <v>230</v>
      </c>
      <c r="G946" s="2" t="s">
        <v>230</v>
      </c>
      <c r="H946" s="30">
        <f t="shared" si="906"/>
        <v>943</v>
      </c>
      <c r="I946" s="30"/>
    </row>
    <row r="947" spans="1:9">
      <c r="A947" s="30" t="s">
        <v>4176</v>
      </c>
      <c r="B947" s="30" t="s">
        <v>4177</v>
      </c>
      <c r="C947" s="3">
        <v>1</v>
      </c>
      <c r="D947" s="3">
        <v>0</v>
      </c>
      <c r="E947" s="3">
        <v>2</v>
      </c>
      <c r="F947" s="2" t="s">
        <v>230</v>
      </c>
      <c r="G947" s="2" t="s">
        <v>230</v>
      </c>
      <c r="H947" s="30">
        <f t="shared" si="906"/>
        <v>944</v>
      </c>
      <c r="I947" s="30"/>
    </row>
    <row r="948" spans="1:9">
      <c r="A948" s="30" t="s">
        <v>4178</v>
      </c>
      <c r="B948" s="30" t="s">
        <v>4179</v>
      </c>
      <c r="C948" s="3">
        <v>1</v>
      </c>
      <c r="D948" s="3">
        <v>0</v>
      </c>
      <c r="E948" s="3">
        <v>3</v>
      </c>
      <c r="F948" s="2" t="s">
        <v>230</v>
      </c>
      <c r="G948" s="2" t="s">
        <v>230</v>
      </c>
      <c r="H948" s="30">
        <f t="shared" si="906"/>
        <v>945</v>
      </c>
      <c r="I948" s="30" t="s">
        <v>4210</v>
      </c>
    </row>
    <row r="949" spans="1:9">
      <c r="A949" s="30" t="s">
        <v>4180</v>
      </c>
      <c r="B949" s="30" t="s">
        <v>4181</v>
      </c>
      <c r="C949" s="3">
        <v>1</v>
      </c>
      <c r="D949" s="3">
        <v>0</v>
      </c>
      <c r="E949" s="3">
        <v>3</v>
      </c>
      <c r="F949" s="2" t="s">
        <v>230</v>
      </c>
      <c r="G949" s="2" t="s">
        <v>230</v>
      </c>
      <c r="H949" s="30">
        <f t="shared" si="906"/>
        <v>946</v>
      </c>
      <c r="I949" s="30" t="s">
        <v>4210</v>
      </c>
    </row>
    <row r="950" spans="1:9">
      <c r="A950" s="30" t="s">
        <v>4182</v>
      </c>
      <c r="B950" s="30" t="s">
        <v>4183</v>
      </c>
      <c r="C950" s="3">
        <v>1</v>
      </c>
      <c r="D950" s="3">
        <v>0</v>
      </c>
      <c r="E950" s="3">
        <v>3</v>
      </c>
      <c r="F950" s="2" t="s">
        <v>230</v>
      </c>
      <c r="G950" s="2" t="s">
        <v>230</v>
      </c>
      <c r="H950" s="30">
        <f t="shared" si="906"/>
        <v>947</v>
      </c>
      <c r="I950" s="30" t="s">
        <v>4210</v>
      </c>
    </row>
    <row r="951" spans="1:9">
      <c r="A951" s="30" t="s">
        <v>4184</v>
      </c>
      <c r="B951" s="30" t="s">
        <v>4185</v>
      </c>
      <c r="C951" s="3">
        <v>0</v>
      </c>
      <c r="D951" s="3">
        <v>0</v>
      </c>
      <c r="E951" s="3">
        <v>1</v>
      </c>
      <c r="F951" s="2" t="s">
        <v>230</v>
      </c>
      <c r="G951" s="2" t="s">
        <v>230</v>
      </c>
      <c r="H951" s="30">
        <f t="shared" si="906"/>
        <v>948</v>
      </c>
      <c r="I951" s="30" t="s">
        <v>4210</v>
      </c>
    </row>
    <row r="952" spans="1:9">
      <c r="A952" s="30" t="s">
        <v>4186</v>
      </c>
      <c r="B952" s="30" t="s">
        <v>4187</v>
      </c>
      <c r="C952" s="3">
        <v>0</v>
      </c>
      <c r="D952" s="3">
        <v>0</v>
      </c>
      <c r="E952" s="3">
        <v>1</v>
      </c>
      <c r="F952" s="2" t="s">
        <v>230</v>
      </c>
      <c r="G952" s="2" t="s">
        <v>230</v>
      </c>
      <c r="H952" s="30">
        <f t="shared" si="906"/>
        <v>949</v>
      </c>
      <c r="I952" s="30" t="s">
        <v>4210</v>
      </c>
    </row>
    <row r="953" spans="1:9">
      <c r="A953" s="30" t="s">
        <v>4188</v>
      </c>
      <c r="B953" s="30" t="s">
        <v>4189</v>
      </c>
      <c r="C953" s="3">
        <v>0</v>
      </c>
      <c r="D953" s="3">
        <v>0</v>
      </c>
      <c r="E953" s="3">
        <v>4</v>
      </c>
      <c r="F953" s="2" t="s">
        <v>230</v>
      </c>
      <c r="G953" s="2" t="s">
        <v>230</v>
      </c>
      <c r="H953" s="30">
        <f t="shared" si="906"/>
        <v>950</v>
      </c>
      <c r="I953" s="30"/>
    </row>
    <row r="954" spans="1:9">
      <c r="A954" s="30" t="s">
        <v>4190</v>
      </c>
      <c r="B954" s="30" t="s">
        <v>4191</v>
      </c>
      <c r="C954" s="3" t="s">
        <v>186</v>
      </c>
      <c r="D954" s="3" t="s">
        <v>186</v>
      </c>
      <c r="E954" s="3" t="s">
        <v>186</v>
      </c>
      <c r="F954" s="2" t="s">
        <v>230</v>
      </c>
      <c r="G954" s="2" t="s">
        <v>230</v>
      </c>
      <c r="H954" s="30">
        <f t="shared" si="906"/>
        <v>951</v>
      </c>
      <c r="I954" s="30"/>
    </row>
    <row r="955" spans="1:9">
      <c r="A955" s="30" t="s">
        <v>4192</v>
      </c>
      <c r="B955" s="30" t="s">
        <v>4193</v>
      </c>
      <c r="C955" s="3" t="s">
        <v>186</v>
      </c>
      <c r="D955" s="3" t="s">
        <v>186</v>
      </c>
      <c r="E955" s="3" t="s">
        <v>186</v>
      </c>
      <c r="F955" s="2" t="s">
        <v>230</v>
      </c>
      <c r="G955" s="2" t="s">
        <v>230</v>
      </c>
      <c r="H955" s="30">
        <f t="shared" si="906"/>
        <v>952</v>
      </c>
      <c r="I955" s="30"/>
    </row>
    <row r="956" spans="1:9">
      <c r="A956" s="30" t="s">
        <v>4194</v>
      </c>
      <c r="B956" s="30" t="s">
        <v>4195</v>
      </c>
      <c r="C956" s="3">
        <v>0</v>
      </c>
      <c r="D956" s="3">
        <v>0</v>
      </c>
      <c r="E956" s="3">
        <v>3</v>
      </c>
      <c r="F956" s="2" t="s">
        <v>230</v>
      </c>
      <c r="G956" s="2" t="s">
        <v>230</v>
      </c>
      <c r="H956" s="30">
        <f t="shared" si="906"/>
        <v>953</v>
      </c>
      <c r="I956" s="30"/>
    </row>
    <row r="957" spans="1:9">
      <c r="A957" s="30" t="s">
        <v>4196</v>
      </c>
      <c r="B957" s="30" t="s">
        <v>4197</v>
      </c>
      <c r="C957" s="3">
        <v>10000</v>
      </c>
      <c r="D957" s="3">
        <v>1000</v>
      </c>
      <c r="E957" s="3">
        <v>99999000</v>
      </c>
      <c r="F957" s="2" t="s">
        <v>230</v>
      </c>
      <c r="G957" s="2" t="s">
        <v>230</v>
      </c>
      <c r="H957" s="30">
        <f t="shared" si="906"/>
        <v>954</v>
      </c>
      <c r="I957" s="30" t="s">
        <v>4210</v>
      </c>
    </row>
    <row r="958" spans="1:9">
      <c r="A958" s="30" t="s">
        <v>4198</v>
      </c>
      <c r="B958" s="30" t="s">
        <v>4199</v>
      </c>
      <c r="C958" s="3">
        <v>0</v>
      </c>
      <c r="D958" s="3">
        <v>0</v>
      </c>
      <c r="E958" s="3">
        <v>1</v>
      </c>
      <c r="F958" s="2" t="s">
        <v>230</v>
      </c>
      <c r="G958" s="2" t="s">
        <v>230</v>
      </c>
      <c r="H958" s="30">
        <f t="shared" si="906"/>
        <v>955</v>
      </c>
      <c r="I958" s="30" t="s">
        <v>4210</v>
      </c>
    </row>
  </sheetData>
  <phoneticPr fontId="1"/>
  <dataValidations disablePrompts="1" count="1">
    <dataValidation type="list" allowBlank="1" showInputMessage="1" showErrorMessage="1" sqref="F942:G958 F924:G940 F4:G834" xr:uid="{00000000-0002-0000-0200-000000000000}">
      <formula1>"○,×"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9"/>
  <sheetViews>
    <sheetView workbookViewId="0"/>
  </sheetViews>
  <sheetFormatPr defaultRowHeight="13.5"/>
  <cols>
    <col min="1" max="1" width="55.5" customWidth="1"/>
    <col min="2" max="2" width="30.25" customWidth="1"/>
    <col min="3" max="3" width="28.125" style="4" customWidth="1"/>
    <col min="4" max="5" width="20.625" style="4" customWidth="1"/>
    <col min="6" max="6" width="11.125" customWidth="1"/>
    <col min="7" max="7" width="12.375" bestFit="1" customWidth="1"/>
    <col min="8" max="8" width="5.75" bestFit="1" customWidth="1"/>
    <col min="9" max="9" width="50.625" customWidth="1"/>
  </cols>
  <sheetData>
    <row r="1" spans="1:9">
      <c r="A1" s="34" t="s">
        <v>2797</v>
      </c>
      <c r="B1" s="30" t="s">
        <v>1095</v>
      </c>
      <c r="C1" s="34" t="s">
        <v>2796</v>
      </c>
      <c r="D1" s="30">
        <v>3</v>
      </c>
    </row>
    <row r="3" spans="1:9" ht="40.5">
      <c r="A3" s="1" t="s">
        <v>1</v>
      </c>
      <c r="B3" s="1" t="s">
        <v>2</v>
      </c>
      <c r="C3" s="5" t="s">
        <v>3</v>
      </c>
      <c r="D3" s="5" t="s">
        <v>193</v>
      </c>
      <c r="E3" s="5" t="s">
        <v>194</v>
      </c>
      <c r="F3" s="28" t="s">
        <v>1089</v>
      </c>
      <c r="G3" s="29" t="s">
        <v>2777</v>
      </c>
      <c r="H3" s="29" t="s">
        <v>1092</v>
      </c>
      <c r="I3" s="1" t="s">
        <v>274</v>
      </c>
    </row>
    <row r="4" spans="1:9">
      <c r="A4" s="30"/>
      <c r="B4" s="30"/>
      <c r="C4" s="3"/>
      <c r="D4" s="3"/>
      <c r="E4" s="3"/>
      <c r="F4" s="2"/>
      <c r="G4" s="2"/>
      <c r="H4" s="30">
        <f>ROW()-3</f>
        <v>1</v>
      </c>
      <c r="I4" s="30"/>
    </row>
    <row r="5" spans="1:9">
      <c r="A5" s="30"/>
      <c r="B5" s="30"/>
      <c r="C5" s="3"/>
      <c r="D5" s="3"/>
      <c r="E5" s="3"/>
      <c r="F5" s="2"/>
      <c r="G5" s="2"/>
      <c r="H5" s="30">
        <f t="shared" ref="H5:H9" si="0">ROW()-3</f>
        <v>2</v>
      </c>
      <c r="I5" s="30"/>
    </row>
    <row r="6" spans="1:9">
      <c r="A6" s="30"/>
      <c r="B6" s="30"/>
      <c r="C6" s="3"/>
      <c r="D6" s="3"/>
      <c r="E6" s="3"/>
      <c r="F6" s="2"/>
      <c r="G6" s="2"/>
      <c r="H6" s="30">
        <f t="shared" si="0"/>
        <v>3</v>
      </c>
      <c r="I6" s="30"/>
    </row>
    <row r="7" spans="1:9">
      <c r="A7" s="30"/>
      <c r="B7" s="30"/>
      <c r="C7" s="3"/>
      <c r="D7" s="3"/>
      <c r="E7" s="3"/>
      <c r="F7" s="2"/>
      <c r="G7" s="2"/>
      <c r="H7" s="30">
        <f t="shared" si="0"/>
        <v>4</v>
      </c>
      <c r="I7" s="30"/>
    </row>
    <row r="8" spans="1:9">
      <c r="A8" s="30"/>
      <c r="B8" s="30"/>
      <c r="C8" s="3"/>
      <c r="D8" s="3"/>
      <c r="E8" s="3"/>
      <c r="F8" s="2"/>
      <c r="G8" s="2"/>
      <c r="H8" s="30">
        <f t="shared" si="0"/>
        <v>5</v>
      </c>
      <c r="I8" s="30"/>
    </row>
    <row r="9" spans="1:9">
      <c r="A9" s="30"/>
      <c r="B9" s="30"/>
      <c r="C9" s="3"/>
      <c r="D9" s="3"/>
      <c r="E9" s="3"/>
      <c r="F9" s="2"/>
      <c r="G9" s="2"/>
      <c r="H9" s="30">
        <f t="shared" si="0"/>
        <v>6</v>
      </c>
      <c r="I9" s="30"/>
    </row>
  </sheetData>
  <phoneticPr fontId="1"/>
  <dataValidations count="1">
    <dataValidation type="list" allowBlank="1" showInputMessage="1" showErrorMessage="1" sqref="F4:G9" xr:uid="{00000000-0002-0000-0300-000000000000}">
      <formula1>"○,×"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24"/>
  <sheetViews>
    <sheetView workbookViewId="0">
      <selection activeCell="A23" sqref="A23:XFD24"/>
    </sheetView>
  </sheetViews>
  <sheetFormatPr defaultRowHeight="13.5"/>
  <cols>
    <col min="1" max="1" width="55.5" customWidth="1"/>
    <col min="2" max="2" width="30.25" customWidth="1"/>
    <col min="3" max="3" width="28.125" style="4" customWidth="1"/>
    <col min="4" max="5" width="20.625" style="4" customWidth="1"/>
    <col min="6" max="6" width="11.125" customWidth="1"/>
    <col min="7" max="7" width="12.375" bestFit="1" customWidth="1"/>
    <col min="8" max="8" width="5.75" bestFit="1" customWidth="1"/>
    <col min="9" max="9" width="50.625" customWidth="1"/>
  </cols>
  <sheetData>
    <row r="1" spans="1:10">
      <c r="A1" s="34" t="s">
        <v>2797</v>
      </c>
      <c r="B1" s="30" t="s">
        <v>2855</v>
      </c>
      <c r="C1" s="34" t="s">
        <v>2796</v>
      </c>
      <c r="D1" s="30">
        <v>4</v>
      </c>
    </row>
    <row r="3" spans="1:10" ht="40.5">
      <c r="A3" s="1" t="s">
        <v>1</v>
      </c>
      <c r="B3" s="1" t="s">
        <v>2</v>
      </c>
      <c r="C3" s="5" t="s">
        <v>3</v>
      </c>
      <c r="D3" s="5" t="s">
        <v>193</v>
      </c>
      <c r="E3" s="5" t="s">
        <v>194</v>
      </c>
      <c r="F3" s="28" t="s">
        <v>1089</v>
      </c>
      <c r="G3" s="29" t="s">
        <v>2777</v>
      </c>
      <c r="H3" s="29" t="s">
        <v>1092</v>
      </c>
      <c r="I3" s="1" t="s">
        <v>274</v>
      </c>
    </row>
    <row r="4" spans="1:10">
      <c r="A4" s="30" t="s">
        <v>2857</v>
      </c>
      <c r="B4" s="30" t="s">
        <v>2856</v>
      </c>
      <c r="C4" s="3">
        <v>1</v>
      </c>
      <c r="D4" s="3">
        <v>0</v>
      </c>
      <c r="E4" s="3">
        <v>1</v>
      </c>
      <c r="F4" s="2" t="s">
        <v>230</v>
      </c>
      <c r="G4" s="2" t="s">
        <v>2864</v>
      </c>
      <c r="H4" s="30">
        <f>ROW()-3</f>
        <v>1</v>
      </c>
      <c r="I4" s="30"/>
    </row>
    <row r="5" spans="1:10">
      <c r="A5" s="30" t="s">
        <v>3354</v>
      </c>
      <c r="B5" s="30" t="s">
        <v>3070</v>
      </c>
      <c r="C5" s="3" t="s">
        <v>3069</v>
      </c>
      <c r="D5" s="3" t="s">
        <v>186</v>
      </c>
      <c r="E5" s="3" t="s">
        <v>186</v>
      </c>
      <c r="F5" s="2" t="s">
        <v>230</v>
      </c>
      <c r="G5" s="2" t="s">
        <v>230</v>
      </c>
      <c r="H5" s="30">
        <f t="shared" ref="H5:H22" si="0">ROW()-3</f>
        <v>2</v>
      </c>
      <c r="I5" s="30" t="s">
        <v>2865</v>
      </c>
    </row>
    <row r="6" spans="1:10">
      <c r="A6" s="30" t="s">
        <v>2872</v>
      </c>
      <c r="B6" s="30" t="s">
        <v>3071</v>
      </c>
      <c r="C6" s="3" t="s">
        <v>2874</v>
      </c>
      <c r="D6" s="3" t="s">
        <v>812</v>
      </c>
      <c r="E6" s="3" t="s">
        <v>2874</v>
      </c>
      <c r="F6" s="2" t="s">
        <v>230</v>
      </c>
      <c r="G6" s="2" t="s">
        <v>230</v>
      </c>
      <c r="H6" s="30">
        <f t="shared" si="0"/>
        <v>3</v>
      </c>
      <c r="I6" s="30"/>
    </row>
    <row r="7" spans="1:10">
      <c r="A7" s="55" t="s">
        <v>3355</v>
      </c>
      <c r="B7" s="55" t="s">
        <v>2866</v>
      </c>
      <c r="C7" s="56" t="s">
        <v>3430</v>
      </c>
      <c r="D7" s="56" t="s">
        <v>186</v>
      </c>
      <c r="E7" s="56" t="s">
        <v>186</v>
      </c>
      <c r="F7" s="57" t="s">
        <v>230</v>
      </c>
      <c r="G7" s="57" t="s">
        <v>230</v>
      </c>
      <c r="H7" s="55">
        <f t="shared" si="0"/>
        <v>4</v>
      </c>
      <c r="I7" s="55" t="s">
        <v>2865</v>
      </c>
      <c r="J7" t="s">
        <v>3425</v>
      </c>
    </row>
    <row r="8" spans="1:10">
      <c r="A8" s="55" t="s">
        <v>2871</v>
      </c>
      <c r="B8" s="55" t="s">
        <v>2867</v>
      </c>
      <c r="C8" s="56" t="s">
        <v>3437</v>
      </c>
      <c r="D8" s="56" t="s">
        <v>186</v>
      </c>
      <c r="E8" s="56" t="s">
        <v>186</v>
      </c>
      <c r="F8" s="57" t="s">
        <v>230</v>
      </c>
      <c r="G8" s="57" t="s">
        <v>230</v>
      </c>
      <c r="H8" s="55">
        <f t="shared" si="0"/>
        <v>5</v>
      </c>
      <c r="I8" s="55" t="s">
        <v>3232</v>
      </c>
    </row>
    <row r="9" spans="1:10">
      <c r="A9" s="55" t="s">
        <v>3351</v>
      </c>
      <c r="B9" s="55" t="s">
        <v>3349</v>
      </c>
      <c r="C9" s="56" t="s">
        <v>3431</v>
      </c>
      <c r="D9" s="56" t="s">
        <v>186</v>
      </c>
      <c r="E9" s="56" t="s">
        <v>186</v>
      </c>
      <c r="F9" s="57" t="s">
        <v>230</v>
      </c>
      <c r="G9" s="57" t="s">
        <v>230</v>
      </c>
      <c r="H9" s="55">
        <f t="shared" si="0"/>
        <v>6</v>
      </c>
      <c r="I9" s="55" t="s">
        <v>2865</v>
      </c>
    </row>
    <row r="10" spans="1:10">
      <c r="A10" s="55" t="s">
        <v>3353</v>
      </c>
      <c r="B10" s="55" t="s">
        <v>3350</v>
      </c>
      <c r="C10" s="56" t="s">
        <v>3438</v>
      </c>
      <c r="D10" s="56" t="s">
        <v>186</v>
      </c>
      <c r="E10" s="56" t="s">
        <v>186</v>
      </c>
      <c r="F10" s="57" t="s">
        <v>230</v>
      </c>
      <c r="G10" s="57" t="s">
        <v>230</v>
      </c>
      <c r="H10" s="55">
        <f t="shared" si="0"/>
        <v>7</v>
      </c>
      <c r="I10" s="55" t="s">
        <v>3232</v>
      </c>
    </row>
    <row r="11" spans="1:10">
      <c r="A11" s="30" t="s">
        <v>2872</v>
      </c>
      <c r="B11" s="30" t="s">
        <v>2869</v>
      </c>
      <c r="C11" s="3" t="s">
        <v>2874</v>
      </c>
      <c r="D11" s="3" t="s">
        <v>2875</v>
      </c>
      <c r="E11" s="3" t="s">
        <v>2874</v>
      </c>
      <c r="F11" s="2" t="s">
        <v>230</v>
      </c>
      <c r="G11" s="2" t="s">
        <v>230</v>
      </c>
      <c r="H11" s="30">
        <f t="shared" si="0"/>
        <v>8</v>
      </c>
      <c r="I11" s="30" t="s">
        <v>3106</v>
      </c>
    </row>
    <row r="12" spans="1:10">
      <c r="A12" s="30" t="s">
        <v>3356</v>
      </c>
      <c r="B12" s="30" t="s">
        <v>2868</v>
      </c>
      <c r="C12" s="3" t="s">
        <v>2863</v>
      </c>
      <c r="D12" s="3" t="s">
        <v>186</v>
      </c>
      <c r="E12" s="3" t="s">
        <v>186</v>
      </c>
      <c r="F12" s="2" t="s">
        <v>230</v>
      </c>
      <c r="G12" s="2" t="s">
        <v>230</v>
      </c>
      <c r="H12" s="30">
        <f t="shared" si="0"/>
        <v>9</v>
      </c>
      <c r="I12" s="30"/>
    </row>
    <row r="13" spans="1:10">
      <c r="A13" s="30" t="s">
        <v>2873</v>
      </c>
      <c r="B13" s="30" t="s">
        <v>2870</v>
      </c>
      <c r="C13" s="3" t="s">
        <v>2874</v>
      </c>
      <c r="D13" s="3" t="s">
        <v>2875</v>
      </c>
      <c r="E13" s="3" t="s">
        <v>2874</v>
      </c>
      <c r="F13" s="2" t="s">
        <v>230</v>
      </c>
      <c r="G13" s="2" t="s">
        <v>230</v>
      </c>
      <c r="H13" s="30">
        <f t="shared" si="0"/>
        <v>10</v>
      </c>
      <c r="I13" s="30" t="s">
        <v>3105</v>
      </c>
    </row>
    <row r="14" spans="1:10">
      <c r="A14" s="30" t="s">
        <v>2876</v>
      </c>
      <c r="B14" s="30" t="s">
        <v>3092</v>
      </c>
      <c r="C14" s="3">
        <v>10000</v>
      </c>
      <c r="D14" s="3">
        <v>1</v>
      </c>
      <c r="E14" s="3">
        <v>99999</v>
      </c>
      <c r="F14" s="2" t="s">
        <v>230</v>
      </c>
      <c r="G14" s="2" t="s">
        <v>230</v>
      </c>
      <c r="H14" s="30">
        <f t="shared" si="0"/>
        <v>11</v>
      </c>
      <c r="I14" s="30" t="s">
        <v>3106</v>
      </c>
    </row>
    <row r="15" spans="1:10">
      <c r="A15" s="30" t="s">
        <v>3352</v>
      </c>
      <c r="B15" s="30" t="s">
        <v>3251</v>
      </c>
      <c r="C15" s="3">
        <v>2500</v>
      </c>
      <c r="D15" s="3">
        <v>1</v>
      </c>
      <c r="E15" s="3">
        <v>99999</v>
      </c>
      <c r="F15" s="2" t="s">
        <v>230</v>
      </c>
      <c r="G15" s="2" t="s">
        <v>230</v>
      </c>
      <c r="H15" s="30">
        <f t="shared" si="0"/>
        <v>12</v>
      </c>
      <c r="I15" s="30" t="s">
        <v>3106</v>
      </c>
    </row>
    <row r="16" spans="1:10">
      <c r="A16" s="30" t="s">
        <v>2878</v>
      </c>
      <c r="B16" s="30" t="s">
        <v>2879</v>
      </c>
      <c r="C16" s="3" t="s">
        <v>2952</v>
      </c>
      <c r="D16" s="3" t="s">
        <v>186</v>
      </c>
      <c r="E16" s="3" t="s">
        <v>186</v>
      </c>
      <c r="F16" s="2" t="s">
        <v>230</v>
      </c>
      <c r="G16" s="2" t="s">
        <v>230</v>
      </c>
      <c r="H16" s="30">
        <f t="shared" si="0"/>
        <v>13</v>
      </c>
      <c r="I16" s="30"/>
    </row>
    <row r="17" spans="1:9">
      <c r="A17" s="30" t="s">
        <v>3331</v>
      </c>
      <c r="B17" s="30" t="s">
        <v>3329</v>
      </c>
      <c r="C17" s="3">
        <v>1</v>
      </c>
      <c r="D17" s="3">
        <v>0</v>
      </c>
      <c r="E17" s="3">
        <v>2</v>
      </c>
      <c r="F17" s="2" t="s">
        <v>230</v>
      </c>
      <c r="G17" s="2" t="s">
        <v>1052</v>
      </c>
      <c r="H17" s="30">
        <f t="shared" si="0"/>
        <v>14</v>
      </c>
      <c r="I17" s="30"/>
    </row>
    <row r="18" spans="1:9">
      <c r="A18" s="30" t="s">
        <v>3330</v>
      </c>
      <c r="B18" s="30" t="s">
        <v>3328</v>
      </c>
      <c r="C18" s="3">
        <v>0</v>
      </c>
      <c r="D18" s="3">
        <v>0</v>
      </c>
      <c r="E18" s="3">
        <v>2</v>
      </c>
      <c r="F18" s="2" t="s">
        <v>230</v>
      </c>
      <c r="G18" s="2" t="s">
        <v>1052</v>
      </c>
      <c r="H18" s="30">
        <f t="shared" si="0"/>
        <v>15</v>
      </c>
      <c r="I18" s="30"/>
    </row>
    <row r="19" spans="1:9">
      <c r="A19" s="30" t="s">
        <v>3435</v>
      </c>
      <c r="B19" s="30" t="s">
        <v>3436</v>
      </c>
      <c r="C19" s="3">
        <v>0</v>
      </c>
      <c r="D19" s="3">
        <v>0</v>
      </c>
      <c r="E19" s="3">
        <v>1</v>
      </c>
      <c r="F19" s="2" t="s">
        <v>230</v>
      </c>
      <c r="G19" s="2" t="s">
        <v>1052</v>
      </c>
      <c r="H19" s="30">
        <f t="shared" si="0"/>
        <v>16</v>
      </c>
      <c r="I19" s="30"/>
    </row>
    <row r="20" spans="1:9">
      <c r="A20" s="30" t="s">
        <v>3645</v>
      </c>
      <c r="B20" s="30" t="s">
        <v>3646</v>
      </c>
      <c r="C20" s="3">
        <v>100</v>
      </c>
      <c r="D20" s="3">
        <v>1</v>
      </c>
      <c r="E20" s="3">
        <v>2147483647</v>
      </c>
      <c r="F20" s="2" t="s">
        <v>230</v>
      </c>
      <c r="G20" s="2" t="s">
        <v>230</v>
      </c>
      <c r="H20" s="30">
        <f t="shared" si="0"/>
        <v>17</v>
      </c>
      <c r="I20" s="30" t="s">
        <v>3644</v>
      </c>
    </row>
    <row r="21" spans="1:9">
      <c r="A21" s="30" t="s">
        <v>4307</v>
      </c>
      <c r="B21" s="30" t="s">
        <v>4310</v>
      </c>
      <c r="C21" s="3">
        <v>0</v>
      </c>
      <c r="D21" s="3">
        <v>0</v>
      </c>
      <c r="E21" s="3">
        <v>1</v>
      </c>
      <c r="F21" s="2" t="s">
        <v>230</v>
      </c>
      <c r="G21" s="2" t="s">
        <v>1052</v>
      </c>
      <c r="H21" s="30">
        <f t="shared" si="0"/>
        <v>18</v>
      </c>
      <c r="I21" s="30" t="s">
        <v>4311</v>
      </c>
    </row>
    <row r="22" spans="1:9">
      <c r="A22" s="30" t="s">
        <v>4317</v>
      </c>
      <c r="B22" s="30" t="s">
        <v>4318</v>
      </c>
      <c r="C22" s="3">
        <v>1000</v>
      </c>
      <c r="D22" s="3">
        <v>0</v>
      </c>
      <c r="E22" s="3">
        <v>60000</v>
      </c>
      <c r="F22" s="2" t="s">
        <v>230</v>
      </c>
      <c r="G22" s="2" t="s">
        <v>230</v>
      </c>
      <c r="H22" s="30">
        <f t="shared" si="0"/>
        <v>19</v>
      </c>
      <c r="I22" s="30"/>
    </row>
    <row r="23" spans="1:9">
      <c r="A23" s="30"/>
      <c r="B23" s="30"/>
      <c r="C23" s="3"/>
      <c r="D23" s="3"/>
      <c r="E23" s="3"/>
      <c r="F23" s="30"/>
      <c r="G23" s="30"/>
      <c r="H23" s="30"/>
      <c r="I23" s="30"/>
    </row>
    <row r="24" spans="1:9">
      <c r="A24" s="30"/>
      <c r="B24" s="30"/>
      <c r="C24" s="3"/>
      <c r="D24" s="3"/>
      <c r="E24" s="3"/>
      <c r="F24" s="30"/>
      <c r="G24" s="30"/>
      <c r="H24" s="30"/>
      <c r="I24" s="30"/>
    </row>
  </sheetData>
  <phoneticPr fontId="1"/>
  <dataValidations count="1">
    <dataValidation type="list" allowBlank="1" showInputMessage="1" showErrorMessage="1" sqref="F4:G22" xr:uid="{00000000-0002-0000-0400-000000000000}">
      <formula1>"○,×"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73"/>
  <sheetViews>
    <sheetView topLeftCell="D1" workbookViewId="0">
      <selection activeCell="J10" sqref="J10:M16"/>
    </sheetView>
  </sheetViews>
  <sheetFormatPr defaultRowHeight="13.5"/>
  <cols>
    <col min="1" max="1" width="55.5" customWidth="1"/>
    <col min="2" max="2" width="30.25" customWidth="1"/>
    <col min="3" max="3" width="103.25" style="4" customWidth="1"/>
    <col min="4" max="5" width="20.625" style="4" customWidth="1"/>
    <col min="6" max="6" width="11.125" customWidth="1"/>
    <col min="7" max="7" width="12.375" bestFit="1" customWidth="1"/>
    <col min="8" max="8" width="5.75" bestFit="1" customWidth="1"/>
    <col min="9" max="9" width="50.625" customWidth="1"/>
  </cols>
  <sheetData>
    <row r="1" spans="1:13">
      <c r="A1" s="34" t="s">
        <v>2797</v>
      </c>
      <c r="B1" s="30" t="s">
        <v>3461</v>
      </c>
      <c r="C1" s="34" t="s">
        <v>2796</v>
      </c>
      <c r="D1" s="30">
        <v>5</v>
      </c>
    </row>
    <row r="3" spans="1:13" ht="40.5">
      <c r="A3" s="1" t="s">
        <v>1</v>
      </c>
      <c r="B3" s="1" t="s">
        <v>2</v>
      </c>
      <c r="C3" s="5" t="s">
        <v>3</v>
      </c>
      <c r="D3" s="5" t="s">
        <v>193</v>
      </c>
      <c r="E3" s="5" t="s">
        <v>194</v>
      </c>
      <c r="F3" s="28" t="s">
        <v>1089</v>
      </c>
      <c r="G3" s="29" t="s">
        <v>2777</v>
      </c>
      <c r="H3" s="29" t="s">
        <v>1092</v>
      </c>
      <c r="I3" s="1" t="s">
        <v>274</v>
      </c>
    </row>
    <row r="4" spans="1:13">
      <c r="A4" s="30" t="s">
        <v>3583</v>
      </c>
      <c r="B4" s="30" t="s">
        <v>3585</v>
      </c>
      <c r="C4" s="58" t="s">
        <v>3586</v>
      </c>
      <c r="D4" s="19" t="s">
        <v>186</v>
      </c>
      <c r="E4" s="19" t="s">
        <v>186</v>
      </c>
      <c r="F4" s="2" t="s">
        <v>230</v>
      </c>
      <c r="G4" s="2" t="s">
        <v>230</v>
      </c>
      <c r="H4" s="30">
        <f t="shared" ref="H4:H11" si="0">ROW()-3</f>
        <v>1</v>
      </c>
      <c r="I4" s="30" t="s">
        <v>3621</v>
      </c>
    </row>
    <row r="5" spans="1:13">
      <c r="A5" s="30" t="s">
        <v>3635</v>
      </c>
      <c r="B5" s="30" t="s">
        <v>3595</v>
      </c>
      <c r="C5" s="58">
        <v>1</v>
      </c>
      <c r="D5" s="19">
        <v>0</v>
      </c>
      <c r="E5" s="19">
        <v>2</v>
      </c>
      <c r="F5" s="2" t="s">
        <v>230</v>
      </c>
      <c r="G5" s="2" t="s">
        <v>230</v>
      </c>
      <c r="H5" s="30">
        <f t="shared" si="0"/>
        <v>2</v>
      </c>
      <c r="I5" s="30"/>
    </row>
    <row r="6" spans="1:13">
      <c r="A6" s="30" t="s">
        <v>3597</v>
      </c>
      <c r="B6" s="30" t="s">
        <v>3596</v>
      </c>
      <c r="C6" s="58">
        <v>1</v>
      </c>
      <c r="D6" s="19">
        <v>0</v>
      </c>
      <c r="E6" s="19">
        <v>3</v>
      </c>
      <c r="F6" s="2" t="s">
        <v>230</v>
      </c>
      <c r="G6" s="2" t="s">
        <v>230</v>
      </c>
      <c r="H6" s="30">
        <f t="shared" si="0"/>
        <v>3</v>
      </c>
      <c r="I6" s="30"/>
    </row>
    <row r="7" spans="1:13">
      <c r="A7" s="30" t="s">
        <v>3631</v>
      </c>
      <c r="B7" s="30" t="s">
        <v>3630</v>
      </c>
      <c r="C7" s="58">
        <v>100</v>
      </c>
      <c r="D7" s="19">
        <v>1</v>
      </c>
      <c r="E7" s="19">
        <v>1000</v>
      </c>
      <c r="F7" s="2" t="s">
        <v>230</v>
      </c>
      <c r="G7" s="2" t="s">
        <v>230</v>
      </c>
      <c r="H7" s="30">
        <f t="shared" si="0"/>
        <v>4</v>
      </c>
      <c r="I7" s="30"/>
    </row>
    <row r="8" spans="1:13">
      <c r="A8" s="30" t="s">
        <v>3636</v>
      </c>
      <c r="B8" s="30" t="s">
        <v>3639</v>
      </c>
      <c r="C8" s="19">
        <v>1</v>
      </c>
      <c r="D8" s="19">
        <v>0</v>
      </c>
      <c r="E8" s="19">
        <v>1</v>
      </c>
      <c r="F8" s="2" t="s">
        <v>230</v>
      </c>
      <c r="G8" s="2" t="s">
        <v>230</v>
      </c>
      <c r="H8" s="30">
        <f t="shared" si="0"/>
        <v>5</v>
      </c>
      <c r="I8" s="30"/>
    </row>
    <row r="9" spans="1:13">
      <c r="A9" s="30" t="s">
        <v>4127</v>
      </c>
      <c r="B9" s="30" t="s">
        <v>3637</v>
      </c>
      <c r="C9" s="19">
        <v>0</v>
      </c>
      <c r="D9" s="19">
        <v>-1</v>
      </c>
      <c r="E9" s="19">
        <v>1</v>
      </c>
      <c r="F9" s="2" t="s">
        <v>230</v>
      </c>
      <c r="G9" s="2" t="s">
        <v>1052</v>
      </c>
      <c r="H9" s="30">
        <f t="shared" si="0"/>
        <v>6</v>
      </c>
      <c r="I9" s="30" t="s">
        <v>3641</v>
      </c>
    </row>
    <row r="10" spans="1:13">
      <c r="A10" s="30" t="s">
        <v>3463</v>
      </c>
      <c r="B10" s="30" t="s">
        <v>3581</v>
      </c>
      <c r="C10" s="19" t="s">
        <v>4509</v>
      </c>
      <c r="D10" s="19" t="s">
        <v>186</v>
      </c>
      <c r="E10" s="19" t="s">
        <v>186</v>
      </c>
      <c r="F10" s="2" t="s">
        <v>230</v>
      </c>
      <c r="G10" s="2" t="s">
        <v>230</v>
      </c>
      <c r="H10" s="30">
        <f t="shared" si="0"/>
        <v>7</v>
      </c>
      <c r="I10" s="30" t="s">
        <v>3622</v>
      </c>
      <c r="J10" t="s">
        <v>3613</v>
      </c>
      <c r="K10" t="s">
        <v>4528</v>
      </c>
      <c r="M10" t="s">
        <v>3614</v>
      </c>
    </row>
    <row r="11" spans="1:13">
      <c r="A11" s="30" t="s">
        <v>3582</v>
      </c>
      <c r="B11" s="30" t="s">
        <v>3540</v>
      </c>
      <c r="C11" s="58" t="s">
        <v>3584</v>
      </c>
      <c r="D11" s="19" t="s">
        <v>186</v>
      </c>
      <c r="E11" s="19" t="s">
        <v>186</v>
      </c>
      <c r="F11" s="2" t="s">
        <v>230</v>
      </c>
      <c r="G11" s="2" t="s">
        <v>1052</v>
      </c>
      <c r="H11" s="30">
        <f t="shared" si="0"/>
        <v>8</v>
      </c>
      <c r="I11" s="30"/>
      <c r="K11" t="s">
        <v>3619</v>
      </c>
      <c r="M11" t="s">
        <v>3615</v>
      </c>
    </row>
    <row r="12" spans="1:13">
      <c r="A12" s="30" t="s">
        <v>3464</v>
      </c>
      <c r="B12" s="30" t="s">
        <v>3483</v>
      </c>
      <c r="C12" s="19" t="s">
        <v>4510</v>
      </c>
      <c r="D12" s="19" t="s">
        <v>186</v>
      </c>
      <c r="E12" s="19" t="s">
        <v>186</v>
      </c>
      <c r="F12" s="2" t="s">
        <v>230</v>
      </c>
      <c r="G12" s="2" t="s">
        <v>230</v>
      </c>
      <c r="H12" s="30">
        <f t="shared" ref="H12:H73" si="1">ROW()-3</f>
        <v>9</v>
      </c>
      <c r="I12" s="30"/>
      <c r="K12" t="s">
        <v>3620</v>
      </c>
      <c r="M12" t="s">
        <v>3616</v>
      </c>
    </row>
    <row r="13" spans="1:13">
      <c r="A13" s="30" t="s">
        <v>3502</v>
      </c>
      <c r="B13" s="30" t="s">
        <v>3521</v>
      </c>
      <c r="C13" s="58" t="s">
        <v>3584</v>
      </c>
      <c r="D13" s="19" t="s">
        <v>186</v>
      </c>
      <c r="E13" s="19" t="s">
        <v>186</v>
      </c>
      <c r="F13" s="2" t="s">
        <v>230</v>
      </c>
      <c r="G13" s="2" t="s">
        <v>1052</v>
      </c>
      <c r="H13" s="30">
        <f t="shared" si="1"/>
        <v>10</v>
      </c>
      <c r="I13" s="30"/>
      <c r="K13" t="s">
        <v>3618</v>
      </c>
      <c r="M13" t="s">
        <v>3617</v>
      </c>
    </row>
    <row r="14" spans="1:13">
      <c r="A14" s="30" t="s">
        <v>3465</v>
      </c>
      <c r="B14" s="30" t="s">
        <v>3484</v>
      </c>
      <c r="C14" s="19" t="s">
        <v>4511</v>
      </c>
      <c r="D14" s="19" t="s">
        <v>186</v>
      </c>
      <c r="E14" s="19" t="s">
        <v>186</v>
      </c>
      <c r="F14" s="2" t="s">
        <v>230</v>
      </c>
      <c r="G14" s="2" t="s">
        <v>230</v>
      </c>
      <c r="H14" s="30">
        <f t="shared" si="1"/>
        <v>11</v>
      </c>
      <c r="I14" s="30"/>
      <c r="K14" t="s">
        <v>4505</v>
      </c>
      <c r="M14" t="s">
        <v>4372</v>
      </c>
    </row>
    <row r="15" spans="1:13">
      <c r="A15" s="30" t="s">
        <v>3503</v>
      </c>
      <c r="B15" s="30" t="s">
        <v>3522</v>
      </c>
      <c r="C15" s="58" t="s">
        <v>3584</v>
      </c>
      <c r="D15" s="19" t="s">
        <v>186</v>
      </c>
      <c r="E15" s="19" t="s">
        <v>186</v>
      </c>
      <c r="F15" s="2" t="s">
        <v>230</v>
      </c>
      <c r="G15" s="2" t="s">
        <v>1052</v>
      </c>
      <c r="H15" s="30">
        <f t="shared" si="1"/>
        <v>12</v>
      </c>
      <c r="I15" s="30"/>
      <c r="K15" t="s">
        <v>4506</v>
      </c>
      <c r="M15" t="s">
        <v>4493</v>
      </c>
    </row>
    <row r="16" spans="1:13">
      <c r="A16" s="30" t="s">
        <v>3466</v>
      </c>
      <c r="B16" s="30" t="s">
        <v>3485</v>
      </c>
      <c r="C16" s="19" t="s">
        <v>4512</v>
      </c>
      <c r="D16" s="19" t="s">
        <v>186</v>
      </c>
      <c r="E16" s="19" t="s">
        <v>186</v>
      </c>
      <c r="F16" s="2" t="s">
        <v>230</v>
      </c>
      <c r="G16" s="2" t="s">
        <v>230</v>
      </c>
      <c r="H16" s="30">
        <f t="shared" si="1"/>
        <v>13</v>
      </c>
      <c r="I16" s="30"/>
      <c r="K16" s="54" t="s">
        <v>4529</v>
      </c>
      <c r="M16" t="s">
        <v>4530</v>
      </c>
    </row>
    <row r="17" spans="1:9">
      <c r="A17" s="30" t="s">
        <v>3504</v>
      </c>
      <c r="B17" s="30" t="s">
        <v>3523</v>
      </c>
      <c r="C17" s="58" t="s">
        <v>3584</v>
      </c>
      <c r="D17" s="19" t="s">
        <v>186</v>
      </c>
      <c r="E17" s="19" t="s">
        <v>186</v>
      </c>
      <c r="F17" s="2" t="s">
        <v>230</v>
      </c>
      <c r="G17" s="2" t="s">
        <v>1052</v>
      </c>
      <c r="H17" s="30">
        <f t="shared" si="1"/>
        <v>14</v>
      </c>
      <c r="I17" s="30"/>
    </row>
    <row r="18" spans="1:9">
      <c r="A18" s="30" t="s">
        <v>3467</v>
      </c>
      <c r="B18" s="30" t="s">
        <v>3486</v>
      </c>
      <c r="C18" s="19" t="s">
        <v>4513</v>
      </c>
      <c r="D18" s="19" t="s">
        <v>186</v>
      </c>
      <c r="E18" s="19" t="s">
        <v>186</v>
      </c>
      <c r="F18" s="2" t="s">
        <v>230</v>
      </c>
      <c r="G18" s="2" t="s">
        <v>230</v>
      </c>
      <c r="H18" s="30">
        <f t="shared" si="1"/>
        <v>15</v>
      </c>
      <c r="I18" s="30"/>
    </row>
    <row r="19" spans="1:9">
      <c r="A19" s="30" t="s">
        <v>3505</v>
      </c>
      <c r="B19" s="30" t="s">
        <v>3524</v>
      </c>
      <c r="C19" s="58" t="s">
        <v>3584</v>
      </c>
      <c r="D19" s="19" t="s">
        <v>186</v>
      </c>
      <c r="E19" s="19" t="s">
        <v>186</v>
      </c>
      <c r="F19" s="2" t="s">
        <v>230</v>
      </c>
      <c r="G19" s="2" t="s">
        <v>1052</v>
      </c>
      <c r="H19" s="30">
        <f t="shared" si="1"/>
        <v>16</v>
      </c>
      <c r="I19" s="30"/>
    </row>
    <row r="20" spans="1:9">
      <c r="A20" s="30" t="s">
        <v>3468</v>
      </c>
      <c r="B20" s="30" t="s">
        <v>3487</v>
      </c>
      <c r="C20" s="59" t="s">
        <v>4514</v>
      </c>
      <c r="D20" s="19" t="s">
        <v>186</v>
      </c>
      <c r="E20" s="19" t="s">
        <v>186</v>
      </c>
      <c r="F20" s="2" t="s">
        <v>230</v>
      </c>
      <c r="G20" s="2" t="s">
        <v>230</v>
      </c>
      <c r="H20" s="30">
        <f t="shared" si="1"/>
        <v>17</v>
      </c>
      <c r="I20" s="30"/>
    </row>
    <row r="21" spans="1:9">
      <c r="A21" s="30" t="s">
        <v>3506</v>
      </c>
      <c r="B21" s="30" t="s">
        <v>3525</v>
      </c>
      <c r="C21" s="60" t="s">
        <v>3584</v>
      </c>
      <c r="D21" s="19" t="s">
        <v>186</v>
      </c>
      <c r="E21" s="19" t="s">
        <v>186</v>
      </c>
      <c r="F21" s="2" t="s">
        <v>230</v>
      </c>
      <c r="G21" s="2" t="s">
        <v>1052</v>
      </c>
      <c r="H21" s="30">
        <f t="shared" si="1"/>
        <v>18</v>
      </c>
      <c r="I21" s="30"/>
    </row>
    <row r="22" spans="1:9">
      <c r="A22" s="30" t="s">
        <v>3469</v>
      </c>
      <c r="B22" s="30" t="s">
        <v>3488</v>
      </c>
      <c r="C22" s="19" t="s">
        <v>4515</v>
      </c>
      <c r="D22" s="19" t="s">
        <v>186</v>
      </c>
      <c r="E22" s="19" t="s">
        <v>186</v>
      </c>
      <c r="F22" s="2" t="s">
        <v>230</v>
      </c>
      <c r="G22" s="2" t="s">
        <v>230</v>
      </c>
      <c r="H22" s="30">
        <f t="shared" si="1"/>
        <v>19</v>
      </c>
      <c r="I22" s="30"/>
    </row>
    <row r="23" spans="1:9">
      <c r="A23" s="30" t="s">
        <v>3507</v>
      </c>
      <c r="B23" s="30" t="s">
        <v>3526</v>
      </c>
      <c r="C23" s="58" t="s">
        <v>3584</v>
      </c>
      <c r="D23" s="19" t="s">
        <v>186</v>
      </c>
      <c r="E23" s="19" t="s">
        <v>186</v>
      </c>
      <c r="F23" s="2" t="s">
        <v>230</v>
      </c>
      <c r="G23" s="2" t="s">
        <v>1052</v>
      </c>
      <c r="H23" s="30">
        <f t="shared" si="1"/>
        <v>20</v>
      </c>
      <c r="I23" s="30"/>
    </row>
    <row r="24" spans="1:9">
      <c r="A24" s="30" t="s">
        <v>3470</v>
      </c>
      <c r="B24" s="30" t="s">
        <v>3489</v>
      </c>
      <c r="C24" s="19" t="s">
        <v>4516</v>
      </c>
      <c r="D24" s="19" t="s">
        <v>186</v>
      </c>
      <c r="E24" s="19" t="s">
        <v>186</v>
      </c>
      <c r="F24" s="2" t="s">
        <v>230</v>
      </c>
      <c r="G24" s="2" t="s">
        <v>230</v>
      </c>
      <c r="H24" s="30">
        <f t="shared" si="1"/>
        <v>21</v>
      </c>
      <c r="I24" s="30"/>
    </row>
    <row r="25" spans="1:9">
      <c r="A25" s="30" t="s">
        <v>3508</v>
      </c>
      <c r="B25" s="30" t="s">
        <v>3527</v>
      </c>
      <c r="C25" s="58" t="s">
        <v>3584</v>
      </c>
      <c r="D25" s="19" t="s">
        <v>186</v>
      </c>
      <c r="E25" s="19" t="s">
        <v>186</v>
      </c>
      <c r="F25" s="2" t="s">
        <v>230</v>
      </c>
      <c r="G25" s="2" t="s">
        <v>1052</v>
      </c>
      <c r="H25" s="30">
        <f t="shared" si="1"/>
        <v>22</v>
      </c>
      <c r="I25" s="30"/>
    </row>
    <row r="26" spans="1:9">
      <c r="A26" s="30" t="s">
        <v>3471</v>
      </c>
      <c r="B26" s="30" t="s">
        <v>3490</v>
      </c>
      <c r="C26" s="19" t="s">
        <v>4517</v>
      </c>
      <c r="D26" s="19" t="s">
        <v>186</v>
      </c>
      <c r="E26" s="19" t="s">
        <v>186</v>
      </c>
      <c r="F26" s="2" t="s">
        <v>230</v>
      </c>
      <c r="G26" s="2" t="s">
        <v>230</v>
      </c>
      <c r="H26" s="30">
        <f t="shared" si="1"/>
        <v>23</v>
      </c>
      <c r="I26" s="30"/>
    </row>
    <row r="27" spans="1:9">
      <c r="A27" s="30" t="s">
        <v>3509</v>
      </c>
      <c r="B27" s="30" t="s">
        <v>3528</v>
      </c>
      <c r="C27" s="58" t="s">
        <v>3584</v>
      </c>
      <c r="D27" s="19" t="s">
        <v>186</v>
      </c>
      <c r="E27" s="19" t="s">
        <v>186</v>
      </c>
      <c r="F27" s="2" t="s">
        <v>230</v>
      </c>
      <c r="G27" s="2" t="s">
        <v>1052</v>
      </c>
      <c r="H27" s="30">
        <f t="shared" si="1"/>
        <v>24</v>
      </c>
      <c r="I27" s="30"/>
    </row>
    <row r="28" spans="1:9">
      <c r="A28" s="30" t="s">
        <v>3472</v>
      </c>
      <c r="B28" s="30" t="s">
        <v>3491</v>
      </c>
      <c r="C28" s="19" t="s">
        <v>4518</v>
      </c>
      <c r="D28" s="19" t="s">
        <v>186</v>
      </c>
      <c r="E28" s="19" t="s">
        <v>186</v>
      </c>
      <c r="F28" s="2" t="s">
        <v>230</v>
      </c>
      <c r="G28" s="2" t="s">
        <v>230</v>
      </c>
      <c r="H28" s="30">
        <f t="shared" si="1"/>
        <v>25</v>
      </c>
      <c r="I28" s="30"/>
    </row>
    <row r="29" spans="1:9">
      <c r="A29" s="30" t="s">
        <v>3510</v>
      </c>
      <c r="B29" s="30" t="s">
        <v>3529</v>
      </c>
      <c r="C29" s="58" t="s">
        <v>3584</v>
      </c>
      <c r="D29" s="19" t="s">
        <v>186</v>
      </c>
      <c r="E29" s="19" t="s">
        <v>186</v>
      </c>
      <c r="F29" s="2" t="s">
        <v>230</v>
      </c>
      <c r="G29" s="2" t="s">
        <v>1052</v>
      </c>
      <c r="H29" s="30">
        <f t="shared" si="1"/>
        <v>26</v>
      </c>
      <c r="I29" s="30"/>
    </row>
    <row r="30" spans="1:9">
      <c r="A30" s="30" t="s">
        <v>3473</v>
      </c>
      <c r="B30" s="30" t="s">
        <v>3492</v>
      </c>
      <c r="C30" s="19" t="s">
        <v>4519</v>
      </c>
      <c r="D30" s="19" t="s">
        <v>186</v>
      </c>
      <c r="E30" s="19" t="s">
        <v>186</v>
      </c>
      <c r="F30" s="2" t="s">
        <v>230</v>
      </c>
      <c r="G30" s="2" t="s">
        <v>230</v>
      </c>
      <c r="H30" s="30">
        <f t="shared" si="1"/>
        <v>27</v>
      </c>
      <c r="I30" s="30"/>
    </row>
    <row r="31" spans="1:9">
      <c r="A31" s="30" t="s">
        <v>3511</v>
      </c>
      <c r="B31" s="30" t="s">
        <v>3530</v>
      </c>
      <c r="C31" s="58" t="s">
        <v>3584</v>
      </c>
      <c r="D31" s="19" t="s">
        <v>186</v>
      </c>
      <c r="E31" s="19" t="s">
        <v>186</v>
      </c>
      <c r="F31" s="2" t="s">
        <v>230</v>
      </c>
      <c r="G31" s="2" t="s">
        <v>1052</v>
      </c>
      <c r="H31" s="30">
        <f t="shared" si="1"/>
        <v>28</v>
      </c>
      <c r="I31" s="30"/>
    </row>
    <row r="32" spans="1:9">
      <c r="A32" s="30" t="s">
        <v>3474</v>
      </c>
      <c r="B32" s="30" t="s">
        <v>3493</v>
      </c>
      <c r="C32" s="19" t="s">
        <v>4520</v>
      </c>
      <c r="D32" s="19" t="s">
        <v>186</v>
      </c>
      <c r="E32" s="19" t="s">
        <v>186</v>
      </c>
      <c r="F32" s="2" t="s">
        <v>230</v>
      </c>
      <c r="G32" s="2" t="s">
        <v>230</v>
      </c>
      <c r="H32" s="30">
        <f t="shared" si="1"/>
        <v>29</v>
      </c>
      <c r="I32" s="30"/>
    </row>
    <row r="33" spans="1:9">
      <c r="A33" s="30" t="s">
        <v>3512</v>
      </c>
      <c r="B33" s="30" t="s">
        <v>3531</v>
      </c>
      <c r="C33" s="58" t="s">
        <v>3584</v>
      </c>
      <c r="D33" s="19" t="s">
        <v>186</v>
      </c>
      <c r="E33" s="19" t="s">
        <v>186</v>
      </c>
      <c r="F33" s="2" t="s">
        <v>230</v>
      </c>
      <c r="G33" s="2" t="s">
        <v>1052</v>
      </c>
      <c r="H33" s="30">
        <f t="shared" si="1"/>
        <v>30</v>
      </c>
      <c r="I33" s="30"/>
    </row>
    <row r="34" spans="1:9">
      <c r="A34" s="30" t="s">
        <v>3475</v>
      </c>
      <c r="B34" s="30" t="s">
        <v>3494</v>
      </c>
      <c r="C34" s="19" t="s">
        <v>4521</v>
      </c>
      <c r="D34" s="19" t="s">
        <v>186</v>
      </c>
      <c r="E34" s="19" t="s">
        <v>186</v>
      </c>
      <c r="F34" s="2" t="s">
        <v>230</v>
      </c>
      <c r="G34" s="2" t="s">
        <v>230</v>
      </c>
      <c r="H34" s="30">
        <f t="shared" si="1"/>
        <v>31</v>
      </c>
      <c r="I34" s="30"/>
    </row>
    <row r="35" spans="1:9">
      <c r="A35" s="30" t="s">
        <v>3513</v>
      </c>
      <c r="B35" s="30" t="s">
        <v>3532</v>
      </c>
      <c r="C35" s="58" t="s">
        <v>3584</v>
      </c>
      <c r="D35" s="19" t="s">
        <v>186</v>
      </c>
      <c r="E35" s="19" t="s">
        <v>186</v>
      </c>
      <c r="F35" s="2" t="s">
        <v>230</v>
      </c>
      <c r="G35" s="2" t="s">
        <v>1052</v>
      </c>
      <c r="H35" s="30">
        <f t="shared" si="1"/>
        <v>32</v>
      </c>
      <c r="I35" s="30"/>
    </row>
    <row r="36" spans="1:9">
      <c r="A36" s="30" t="s">
        <v>3476</v>
      </c>
      <c r="B36" s="30" t="s">
        <v>3495</v>
      </c>
      <c r="C36" s="19" t="s">
        <v>4522</v>
      </c>
      <c r="D36" s="19" t="s">
        <v>186</v>
      </c>
      <c r="E36" s="19" t="s">
        <v>186</v>
      </c>
      <c r="F36" s="2" t="s">
        <v>230</v>
      </c>
      <c r="G36" s="2" t="s">
        <v>230</v>
      </c>
      <c r="H36" s="30">
        <f t="shared" si="1"/>
        <v>33</v>
      </c>
      <c r="I36" s="30"/>
    </row>
    <row r="37" spans="1:9">
      <c r="A37" s="30" t="s">
        <v>3514</v>
      </c>
      <c r="B37" s="30" t="s">
        <v>3533</v>
      </c>
      <c r="C37" s="58" t="s">
        <v>3584</v>
      </c>
      <c r="D37" s="19" t="s">
        <v>186</v>
      </c>
      <c r="E37" s="19" t="s">
        <v>186</v>
      </c>
      <c r="F37" s="2" t="s">
        <v>230</v>
      </c>
      <c r="G37" s="2" t="s">
        <v>1052</v>
      </c>
      <c r="H37" s="30">
        <f t="shared" si="1"/>
        <v>34</v>
      </c>
      <c r="I37" s="30"/>
    </row>
    <row r="38" spans="1:9">
      <c r="A38" s="30" t="s">
        <v>3477</v>
      </c>
      <c r="B38" s="30" t="s">
        <v>3496</v>
      </c>
      <c r="C38" s="19" t="s">
        <v>4523</v>
      </c>
      <c r="D38" s="19" t="s">
        <v>186</v>
      </c>
      <c r="E38" s="19" t="s">
        <v>186</v>
      </c>
      <c r="F38" s="2" t="s">
        <v>230</v>
      </c>
      <c r="G38" s="2" t="s">
        <v>230</v>
      </c>
      <c r="H38" s="30">
        <f t="shared" si="1"/>
        <v>35</v>
      </c>
      <c r="I38" s="30"/>
    </row>
    <row r="39" spans="1:9">
      <c r="A39" s="30" t="s">
        <v>3515</v>
      </c>
      <c r="B39" s="30" t="s">
        <v>3534</v>
      </c>
      <c r="C39" s="58" t="s">
        <v>3584</v>
      </c>
      <c r="D39" s="19" t="s">
        <v>186</v>
      </c>
      <c r="E39" s="19" t="s">
        <v>186</v>
      </c>
      <c r="F39" s="2" t="s">
        <v>230</v>
      </c>
      <c r="G39" s="2" t="s">
        <v>1052</v>
      </c>
      <c r="H39" s="30">
        <f t="shared" si="1"/>
        <v>36</v>
      </c>
      <c r="I39" s="30"/>
    </row>
    <row r="40" spans="1:9">
      <c r="A40" s="30" t="s">
        <v>3478</v>
      </c>
      <c r="B40" s="30" t="s">
        <v>3497</v>
      </c>
      <c r="C40" s="19" t="s">
        <v>4524</v>
      </c>
      <c r="D40" s="19" t="s">
        <v>186</v>
      </c>
      <c r="E40" s="19" t="s">
        <v>186</v>
      </c>
      <c r="F40" s="2" t="s">
        <v>230</v>
      </c>
      <c r="G40" s="2" t="s">
        <v>230</v>
      </c>
      <c r="H40" s="30">
        <f t="shared" si="1"/>
        <v>37</v>
      </c>
      <c r="I40" s="30"/>
    </row>
    <row r="41" spans="1:9">
      <c r="A41" s="30" t="s">
        <v>3516</v>
      </c>
      <c r="B41" s="30" t="s">
        <v>3535</v>
      </c>
      <c r="C41" s="58" t="s">
        <v>3584</v>
      </c>
      <c r="D41" s="19" t="s">
        <v>186</v>
      </c>
      <c r="E41" s="19" t="s">
        <v>186</v>
      </c>
      <c r="F41" s="2" t="s">
        <v>230</v>
      </c>
      <c r="G41" s="2" t="s">
        <v>1052</v>
      </c>
      <c r="H41" s="30">
        <f t="shared" si="1"/>
        <v>38</v>
      </c>
      <c r="I41" s="30"/>
    </row>
    <row r="42" spans="1:9">
      <c r="A42" s="30" t="s">
        <v>3479</v>
      </c>
      <c r="B42" s="30" t="s">
        <v>3498</v>
      </c>
      <c r="C42" s="19" t="s">
        <v>4525</v>
      </c>
      <c r="D42" s="19" t="s">
        <v>186</v>
      </c>
      <c r="E42" s="19" t="s">
        <v>186</v>
      </c>
      <c r="F42" s="2" t="s">
        <v>230</v>
      </c>
      <c r="G42" s="2" t="s">
        <v>230</v>
      </c>
      <c r="H42" s="30">
        <f t="shared" si="1"/>
        <v>39</v>
      </c>
      <c r="I42" s="30"/>
    </row>
    <row r="43" spans="1:9">
      <c r="A43" s="30" t="s">
        <v>3517</v>
      </c>
      <c r="B43" s="30" t="s">
        <v>3536</v>
      </c>
      <c r="C43" s="58" t="s">
        <v>3584</v>
      </c>
      <c r="D43" s="19" t="s">
        <v>186</v>
      </c>
      <c r="E43" s="19" t="s">
        <v>186</v>
      </c>
      <c r="F43" s="2" t="s">
        <v>230</v>
      </c>
      <c r="G43" s="2" t="s">
        <v>1052</v>
      </c>
      <c r="H43" s="30">
        <f t="shared" si="1"/>
        <v>40</v>
      </c>
      <c r="I43" s="30"/>
    </row>
    <row r="44" spans="1:9">
      <c r="A44" s="30" t="s">
        <v>3480</v>
      </c>
      <c r="B44" s="30" t="s">
        <v>3499</v>
      </c>
      <c r="C44" s="19" t="s">
        <v>4526</v>
      </c>
      <c r="D44" s="19" t="s">
        <v>186</v>
      </c>
      <c r="E44" s="19" t="s">
        <v>186</v>
      </c>
      <c r="F44" s="2" t="s">
        <v>230</v>
      </c>
      <c r="G44" s="2" t="s">
        <v>230</v>
      </c>
      <c r="H44" s="30">
        <f t="shared" si="1"/>
        <v>41</v>
      </c>
      <c r="I44" s="30"/>
    </row>
    <row r="45" spans="1:9">
      <c r="A45" s="30" t="s">
        <v>3518</v>
      </c>
      <c r="B45" s="30" t="s">
        <v>3537</v>
      </c>
      <c r="C45" s="58" t="s">
        <v>3584</v>
      </c>
      <c r="D45" s="19" t="s">
        <v>186</v>
      </c>
      <c r="E45" s="19" t="s">
        <v>186</v>
      </c>
      <c r="F45" s="2" t="s">
        <v>230</v>
      </c>
      <c r="G45" s="2" t="s">
        <v>1052</v>
      </c>
      <c r="H45" s="30">
        <f t="shared" si="1"/>
        <v>42</v>
      </c>
      <c r="I45" s="30"/>
    </row>
    <row r="46" spans="1:9">
      <c r="A46" s="30" t="s">
        <v>3481</v>
      </c>
      <c r="B46" s="30" t="s">
        <v>3500</v>
      </c>
      <c r="C46" s="19" t="s">
        <v>3623</v>
      </c>
      <c r="D46" s="19" t="s">
        <v>186</v>
      </c>
      <c r="E46" s="19" t="s">
        <v>186</v>
      </c>
      <c r="F46" s="2" t="s">
        <v>230</v>
      </c>
      <c r="G46" s="2" t="s">
        <v>230</v>
      </c>
      <c r="H46" s="30">
        <f t="shared" si="1"/>
        <v>43</v>
      </c>
      <c r="I46" s="30"/>
    </row>
    <row r="47" spans="1:9">
      <c r="A47" s="30" t="s">
        <v>3519</v>
      </c>
      <c r="B47" s="30" t="s">
        <v>3538</v>
      </c>
      <c r="C47" s="58" t="s">
        <v>3584</v>
      </c>
      <c r="D47" s="19" t="s">
        <v>186</v>
      </c>
      <c r="E47" s="19" t="s">
        <v>186</v>
      </c>
      <c r="F47" s="2" t="s">
        <v>230</v>
      </c>
      <c r="G47" s="2" t="s">
        <v>1052</v>
      </c>
      <c r="H47" s="30">
        <f t="shared" si="1"/>
        <v>44</v>
      </c>
      <c r="I47" s="30"/>
    </row>
    <row r="48" spans="1:9">
      <c r="A48" s="30" t="s">
        <v>3482</v>
      </c>
      <c r="B48" s="30" t="s">
        <v>3501</v>
      </c>
      <c r="C48" s="19" t="s">
        <v>3624</v>
      </c>
      <c r="D48" s="19" t="s">
        <v>186</v>
      </c>
      <c r="E48" s="19" t="s">
        <v>186</v>
      </c>
      <c r="F48" s="2" t="s">
        <v>230</v>
      </c>
      <c r="G48" s="2" t="s">
        <v>230</v>
      </c>
      <c r="H48" s="30">
        <f t="shared" si="1"/>
        <v>45</v>
      </c>
      <c r="I48" s="30"/>
    </row>
    <row r="49" spans="1:9">
      <c r="A49" s="30" t="s">
        <v>3520</v>
      </c>
      <c r="B49" s="30" t="s">
        <v>3539</v>
      </c>
      <c r="C49" s="58" t="s">
        <v>3584</v>
      </c>
      <c r="D49" s="19" t="s">
        <v>186</v>
      </c>
      <c r="E49" s="19" t="s">
        <v>186</v>
      </c>
      <c r="F49" s="2" t="s">
        <v>230</v>
      </c>
      <c r="G49" s="2" t="s">
        <v>1052</v>
      </c>
      <c r="H49" s="30">
        <f t="shared" si="1"/>
        <v>46</v>
      </c>
      <c r="I49" s="30"/>
    </row>
    <row r="50" spans="1:9">
      <c r="A50" s="30" t="s">
        <v>3580</v>
      </c>
      <c r="B50" s="30" t="s">
        <v>3560</v>
      </c>
      <c r="C50" s="19" t="s">
        <v>4527</v>
      </c>
      <c r="D50" s="19" t="s">
        <v>186</v>
      </c>
      <c r="E50" s="19" t="s">
        <v>186</v>
      </c>
      <c r="F50" s="2" t="s">
        <v>230</v>
      </c>
      <c r="G50" s="2" t="s">
        <v>230</v>
      </c>
      <c r="H50" s="30">
        <f t="shared" si="1"/>
        <v>47</v>
      </c>
      <c r="I50" s="30"/>
    </row>
    <row r="51" spans="1:9">
      <c r="A51" s="30" t="s">
        <v>3541</v>
      </c>
      <c r="B51" s="30" t="s">
        <v>3561</v>
      </c>
      <c r="C51" s="58" t="s">
        <v>3584</v>
      </c>
      <c r="D51" s="19" t="s">
        <v>186</v>
      </c>
      <c r="E51" s="19" t="s">
        <v>186</v>
      </c>
      <c r="F51" s="2" t="s">
        <v>230</v>
      </c>
      <c r="G51" s="2" t="s">
        <v>1052</v>
      </c>
      <c r="H51" s="30">
        <f t="shared" si="1"/>
        <v>48</v>
      </c>
      <c r="I51" s="30"/>
    </row>
    <row r="52" spans="1:9">
      <c r="A52" s="30" t="s">
        <v>3542</v>
      </c>
      <c r="B52" s="30" t="s">
        <v>3562</v>
      </c>
      <c r="C52" s="19" t="s">
        <v>186</v>
      </c>
      <c r="D52" s="19" t="s">
        <v>186</v>
      </c>
      <c r="E52" s="19" t="s">
        <v>186</v>
      </c>
      <c r="F52" s="2" t="s">
        <v>230</v>
      </c>
      <c r="G52" s="2" t="s">
        <v>230</v>
      </c>
      <c r="H52" s="30">
        <f t="shared" si="1"/>
        <v>49</v>
      </c>
      <c r="I52" s="30"/>
    </row>
    <row r="53" spans="1:9">
      <c r="A53" s="30" t="s">
        <v>3543</v>
      </c>
      <c r="B53" s="30" t="s">
        <v>3563</v>
      </c>
      <c r="C53" s="19" t="s">
        <v>186</v>
      </c>
      <c r="D53" s="19" t="s">
        <v>186</v>
      </c>
      <c r="E53" s="19" t="s">
        <v>186</v>
      </c>
      <c r="F53" s="2" t="s">
        <v>230</v>
      </c>
      <c r="G53" s="2" t="s">
        <v>1052</v>
      </c>
      <c r="H53" s="30">
        <f t="shared" si="1"/>
        <v>50</v>
      </c>
      <c r="I53" s="30"/>
    </row>
    <row r="54" spans="1:9">
      <c r="A54" s="30" t="s">
        <v>3544</v>
      </c>
      <c r="B54" s="30" t="s">
        <v>3564</v>
      </c>
      <c r="C54" s="19" t="s">
        <v>186</v>
      </c>
      <c r="D54" s="19" t="s">
        <v>186</v>
      </c>
      <c r="E54" s="19" t="s">
        <v>186</v>
      </c>
      <c r="F54" s="2" t="s">
        <v>230</v>
      </c>
      <c r="G54" s="2" t="s">
        <v>230</v>
      </c>
      <c r="H54" s="30">
        <f t="shared" si="1"/>
        <v>51</v>
      </c>
      <c r="I54" s="30"/>
    </row>
    <row r="55" spans="1:9">
      <c r="A55" s="30" t="s">
        <v>3545</v>
      </c>
      <c r="B55" s="30" t="s">
        <v>3565</v>
      </c>
      <c r="C55" s="19" t="s">
        <v>186</v>
      </c>
      <c r="D55" s="19" t="s">
        <v>186</v>
      </c>
      <c r="E55" s="19" t="s">
        <v>186</v>
      </c>
      <c r="F55" s="2" t="s">
        <v>230</v>
      </c>
      <c r="G55" s="2" t="s">
        <v>1052</v>
      </c>
      <c r="H55" s="30">
        <f t="shared" si="1"/>
        <v>52</v>
      </c>
      <c r="I55" s="30"/>
    </row>
    <row r="56" spans="1:9">
      <c r="A56" s="30" t="s">
        <v>3546</v>
      </c>
      <c r="B56" s="30" t="s">
        <v>3566</v>
      </c>
      <c r="C56" s="19" t="s">
        <v>186</v>
      </c>
      <c r="D56" s="19" t="s">
        <v>186</v>
      </c>
      <c r="E56" s="19" t="s">
        <v>186</v>
      </c>
      <c r="F56" s="2" t="s">
        <v>230</v>
      </c>
      <c r="G56" s="2" t="s">
        <v>230</v>
      </c>
      <c r="H56" s="30">
        <f t="shared" si="1"/>
        <v>53</v>
      </c>
      <c r="I56" s="30"/>
    </row>
    <row r="57" spans="1:9">
      <c r="A57" s="30" t="s">
        <v>3547</v>
      </c>
      <c r="B57" s="30" t="s">
        <v>3567</v>
      </c>
      <c r="C57" s="19" t="s">
        <v>186</v>
      </c>
      <c r="D57" s="19" t="s">
        <v>186</v>
      </c>
      <c r="E57" s="19" t="s">
        <v>186</v>
      </c>
      <c r="F57" s="2" t="s">
        <v>230</v>
      </c>
      <c r="G57" s="2" t="s">
        <v>1052</v>
      </c>
      <c r="H57" s="30">
        <f t="shared" si="1"/>
        <v>54</v>
      </c>
      <c r="I57" s="30"/>
    </row>
    <row r="58" spans="1:9">
      <c r="A58" s="30" t="s">
        <v>3548</v>
      </c>
      <c r="B58" s="30" t="s">
        <v>3568</v>
      </c>
      <c r="C58" s="19" t="s">
        <v>186</v>
      </c>
      <c r="D58" s="19" t="s">
        <v>186</v>
      </c>
      <c r="E58" s="19" t="s">
        <v>186</v>
      </c>
      <c r="F58" s="2" t="s">
        <v>230</v>
      </c>
      <c r="G58" s="2" t="s">
        <v>230</v>
      </c>
      <c r="H58" s="30">
        <f t="shared" si="1"/>
        <v>55</v>
      </c>
      <c r="I58" s="30"/>
    </row>
    <row r="59" spans="1:9">
      <c r="A59" s="30" t="s">
        <v>3549</v>
      </c>
      <c r="B59" s="30" t="s">
        <v>3569</v>
      </c>
      <c r="C59" s="19" t="s">
        <v>186</v>
      </c>
      <c r="D59" s="19" t="s">
        <v>186</v>
      </c>
      <c r="E59" s="19" t="s">
        <v>186</v>
      </c>
      <c r="F59" s="2" t="s">
        <v>230</v>
      </c>
      <c r="G59" s="2" t="s">
        <v>1052</v>
      </c>
      <c r="H59" s="30">
        <f t="shared" si="1"/>
        <v>56</v>
      </c>
      <c r="I59" s="30"/>
    </row>
    <row r="60" spans="1:9">
      <c r="A60" s="30" t="s">
        <v>3550</v>
      </c>
      <c r="B60" s="30" t="s">
        <v>3570</v>
      </c>
      <c r="C60" s="19" t="s">
        <v>186</v>
      </c>
      <c r="D60" s="19" t="s">
        <v>186</v>
      </c>
      <c r="E60" s="19" t="s">
        <v>186</v>
      </c>
      <c r="F60" s="2" t="s">
        <v>230</v>
      </c>
      <c r="G60" s="2" t="s">
        <v>230</v>
      </c>
      <c r="H60" s="30">
        <f t="shared" si="1"/>
        <v>57</v>
      </c>
      <c r="I60" s="30"/>
    </row>
    <row r="61" spans="1:9">
      <c r="A61" s="30" t="s">
        <v>3551</v>
      </c>
      <c r="B61" s="30" t="s">
        <v>3571</v>
      </c>
      <c r="C61" s="19" t="s">
        <v>186</v>
      </c>
      <c r="D61" s="19" t="s">
        <v>186</v>
      </c>
      <c r="E61" s="19" t="s">
        <v>186</v>
      </c>
      <c r="F61" s="2" t="s">
        <v>230</v>
      </c>
      <c r="G61" s="2" t="s">
        <v>1052</v>
      </c>
      <c r="H61" s="30">
        <f t="shared" si="1"/>
        <v>58</v>
      </c>
      <c r="I61" s="30"/>
    </row>
    <row r="62" spans="1:9">
      <c r="A62" s="30" t="s">
        <v>3552</v>
      </c>
      <c r="B62" s="30" t="s">
        <v>3572</v>
      </c>
      <c r="C62" s="19" t="s">
        <v>186</v>
      </c>
      <c r="D62" s="19" t="s">
        <v>186</v>
      </c>
      <c r="E62" s="19" t="s">
        <v>186</v>
      </c>
      <c r="F62" s="2" t="s">
        <v>230</v>
      </c>
      <c r="G62" s="2" t="s">
        <v>230</v>
      </c>
      <c r="H62" s="30">
        <f t="shared" si="1"/>
        <v>59</v>
      </c>
      <c r="I62" s="30"/>
    </row>
    <row r="63" spans="1:9">
      <c r="A63" s="30" t="s">
        <v>3553</v>
      </c>
      <c r="B63" s="30" t="s">
        <v>3573</v>
      </c>
      <c r="C63" s="19" t="s">
        <v>186</v>
      </c>
      <c r="D63" s="19" t="s">
        <v>186</v>
      </c>
      <c r="E63" s="19" t="s">
        <v>186</v>
      </c>
      <c r="F63" s="2" t="s">
        <v>230</v>
      </c>
      <c r="G63" s="2" t="s">
        <v>1052</v>
      </c>
      <c r="H63" s="30">
        <f t="shared" si="1"/>
        <v>60</v>
      </c>
      <c r="I63" s="30"/>
    </row>
    <row r="64" spans="1:9">
      <c r="A64" s="30" t="s">
        <v>3554</v>
      </c>
      <c r="B64" s="30" t="s">
        <v>3574</v>
      </c>
      <c r="C64" s="19" t="s">
        <v>186</v>
      </c>
      <c r="D64" s="19" t="s">
        <v>186</v>
      </c>
      <c r="E64" s="19" t="s">
        <v>186</v>
      </c>
      <c r="F64" s="2" t="s">
        <v>230</v>
      </c>
      <c r="G64" s="2" t="s">
        <v>230</v>
      </c>
      <c r="H64" s="30">
        <f t="shared" si="1"/>
        <v>61</v>
      </c>
      <c r="I64" s="30"/>
    </row>
    <row r="65" spans="1:9">
      <c r="A65" s="30" t="s">
        <v>3555</v>
      </c>
      <c r="B65" s="30" t="s">
        <v>3575</v>
      </c>
      <c r="C65" s="19" t="s">
        <v>186</v>
      </c>
      <c r="D65" s="19" t="s">
        <v>186</v>
      </c>
      <c r="E65" s="19" t="s">
        <v>186</v>
      </c>
      <c r="F65" s="2" t="s">
        <v>230</v>
      </c>
      <c r="G65" s="2" t="s">
        <v>1052</v>
      </c>
      <c r="H65" s="30">
        <f t="shared" si="1"/>
        <v>62</v>
      </c>
      <c r="I65" s="30"/>
    </row>
    <row r="66" spans="1:9">
      <c r="A66" s="30" t="s">
        <v>3556</v>
      </c>
      <c r="B66" s="30" t="s">
        <v>3576</v>
      </c>
      <c r="C66" s="19" t="s">
        <v>186</v>
      </c>
      <c r="D66" s="19" t="s">
        <v>186</v>
      </c>
      <c r="E66" s="19" t="s">
        <v>186</v>
      </c>
      <c r="F66" s="2" t="s">
        <v>230</v>
      </c>
      <c r="G66" s="2" t="s">
        <v>230</v>
      </c>
      <c r="H66" s="30">
        <f t="shared" si="1"/>
        <v>63</v>
      </c>
      <c r="I66" s="30"/>
    </row>
    <row r="67" spans="1:9">
      <c r="A67" s="30" t="s">
        <v>3557</v>
      </c>
      <c r="B67" s="30" t="s">
        <v>3577</v>
      </c>
      <c r="C67" s="19" t="s">
        <v>186</v>
      </c>
      <c r="D67" s="19" t="s">
        <v>186</v>
      </c>
      <c r="E67" s="19" t="s">
        <v>186</v>
      </c>
      <c r="F67" s="2" t="s">
        <v>230</v>
      </c>
      <c r="G67" s="2" t="s">
        <v>1052</v>
      </c>
      <c r="H67" s="30">
        <f t="shared" si="1"/>
        <v>64</v>
      </c>
      <c r="I67" s="30"/>
    </row>
    <row r="68" spans="1:9">
      <c r="A68" s="30" t="s">
        <v>3558</v>
      </c>
      <c r="B68" s="30" t="s">
        <v>3578</v>
      </c>
      <c r="C68" s="19" t="s">
        <v>186</v>
      </c>
      <c r="D68" s="19" t="s">
        <v>186</v>
      </c>
      <c r="E68" s="19" t="s">
        <v>186</v>
      </c>
      <c r="F68" s="2" t="s">
        <v>230</v>
      </c>
      <c r="G68" s="2" t="s">
        <v>230</v>
      </c>
      <c r="H68" s="30">
        <f t="shared" si="1"/>
        <v>65</v>
      </c>
      <c r="I68" s="30"/>
    </row>
    <row r="69" spans="1:9">
      <c r="A69" s="30" t="s">
        <v>3559</v>
      </c>
      <c r="B69" s="30" t="s">
        <v>3579</v>
      </c>
      <c r="C69" s="19" t="s">
        <v>186</v>
      </c>
      <c r="D69" s="19" t="s">
        <v>186</v>
      </c>
      <c r="E69" s="19" t="s">
        <v>186</v>
      </c>
      <c r="F69" s="2" t="s">
        <v>230</v>
      </c>
      <c r="G69" s="2" t="s">
        <v>1052</v>
      </c>
      <c r="H69" s="30">
        <f t="shared" si="1"/>
        <v>66</v>
      </c>
      <c r="I69" s="30"/>
    </row>
    <row r="70" spans="1:9">
      <c r="A70" s="30" t="s">
        <v>3587</v>
      </c>
      <c r="B70" s="30" t="s">
        <v>3594</v>
      </c>
      <c r="C70" s="19" t="s">
        <v>186</v>
      </c>
      <c r="D70" s="19" t="s">
        <v>186</v>
      </c>
      <c r="E70" s="19" t="s">
        <v>186</v>
      </c>
      <c r="F70" s="2" t="s">
        <v>230</v>
      </c>
      <c r="G70" s="2" t="s">
        <v>230</v>
      </c>
      <c r="H70" s="30">
        <f t="shared" si="1"/>
        <v>67</v>
      </c>
      <c r="I70" s="30"/>
    </row>
    <row r="71" spans="1:9">
      <c r="A71" s="30" t="s">
        <v>3588</v>
      </c>
      <c r="B71" s="30" t="s">
        <v>3593</v>
      </c>
      <c r="C71" s="19" t="s">
        <v>186</v>
      </c>
      <c r="D71" s="19" t="s">
        <v>186</v>
      </c>
      <c r="E71" s="19" t="s">
        <v>186</v>
      </c>
      <c r="F71" s="2" t="s">
        <v>230</v>
      </c>
      <c r="G71" s="2" t="s">
        <v>1052</v>
      </c>
      <c r="H71" s="30">
        <f t="shared" si="1"/>
        <v>68</v>
      </c>
      <c r="I71" s="30"/>
    </row>
    <row r="72" spans="1:9">
      <c r="A72" s="30" t="s">
        <v>3589</v>
      </c>
      <c r="B72" s="30" t="s">
        <v>3592</v>
      </c>
      <c r="C72" s="19" t="s">
        <v>186</v>
      </c>
      <c r="D72" s="19" t="s">
        <v>186</v>
      </c>
      <c r="E72" s="19" t="s">
        <v>186</v>
      </c>
      <c r="F72" s="2" t="s">
        <v>230</v>
      </c>
      <c r="G72" s="2" t="s">
        <v>230</v>
      </c>
      <c r="H72" s="30">
        <f t="shared" si="1"/>
        <v>69</v>
      </c>
      <c r="I72" s="30"/>
    </row>
    <row r="73" spans="1:9">
      <c r="A73" s="30" t="s">
        <v>3590</v>
      </c>
      <c r="B73" s="30" t="s">
        <v>3591</v>
      </c>
      <c r="C73" s="19" t="s">
        <v>186</v>
      </c>
      <c r="D73" s="19" t="s">
        <v>186</v>
      </c>
      <c r="E73" s="19" t="s">
        <v>186</v>
      </c>
      <c r="F73" s="2" t="s">
        <v>230</v>
      </c>
      <c r="G73" s="2" t="s">
        <v>1052</v>
      </c>
      <c r="H73" s="30">
        <f t="shared" si="1"/>
        <v>70</v>
      </c>
      <c r="I73" s="30"/>
    </row>
  </sheetData>
  <phoneticPr fontId="1"/>
  <dataValidations count="1">
    <dataValidation type="list" allowBlank="1" showInputMessage="1" showErrorMessage="1" sqref="F4:G73" xr:uid="{00000000-0002-0000-0500-000000000000}">
      <formula1>"○,×"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05"/>
  <sheetViews>
    <sheetView workbookViewId="0"/>
  </sheetViews>
  <sheetFormatPr defaultRowHeight="13.5"/>
  <cols>
    <col min="1" max="1" width="55.5" customWidth="1"/>
    <col min="2" max="2" width="30.25" customWidth="1"/>
    <col min="3" max="3" width="28.125" style="4" customWidth="1"/>
    <col min="4" max="5" width="20.625" style="4" customWidth="1"/>
    <col min="6" max="6" width="11.125" customWidth="1"/>
    <col min="7" max="7" width="12.375" bestFit="1" customWidth="1"/>
    <col min="8" max="8" width="5.75" bestFit="1" customWidth="1"/>
    <col min="9" max="9" width="50.625" customWidth="1"/>
  </cols>
  <sheetData>
    <row r="1" spans="1:9">
      <c r="A1" s="34" t="s">
        <v>2797</v>
      </c>
      <c r="B1" s="30" t="s">
        <v>3855</v>
      </c>
      <c r="C1" s="34" t="s">
        <v>2796</v>
      </c>
      <c r="D1" s="30">
        <v>6</v>
      </c>
    </row>
    <row r="3" spans="1:9" ht="40.5">
      <c r="A3" s="1" t="s">
        <v>1</v>
      </c>
      <c r="B3" s="1" t="s">
        <v>2</v>
      </c>
      <c r="C3" s="5" t="s">
        <v>3</v>
      </c>
      <c r="D3" s="5" t="s">
        <v>193</v>
      </c>
      <c r="E3" s="5" t="s">
        <v>194</v>
      </c>
      <c r="F3" s="28" t="s">
        <v>1089</v>
      </c>
      <c r="G3" s="29" t="s">
        <v>2777</v>
      </c>
      <c r="H3" s="29" t="s">
        <v>1092</v>
      </c>
      <c r="I3" s="1" t="s">
        <v>274</v>
      </c>
    </row>
    <row r="4" spans="1:9">
      <c r="A4" s="30" t="s">
        <v>3858</v>
      </c>
      <c r="B4" s="30" t="s">
        <v>3857</v>
      </c>
      <c r="C4" s="30">
        <v>100</v>
      </c>
      <c r="D4" s="38">
        <v>1</v>
      </c>
      <c r="E4" s="3">
        <v>1000</v>
      </c>
      <c r="F4" s="2" t="s">
        <v>230</v>
      </c>
      <c r="G4" s="2" t="s">
        <v>230</v>
      </c>
      <c r="H4" s="30">
        <f>ROW()-3</f>
        <v>1</v>
      </c>
      <c r="I4" s="30"/>
    </row>
    <row r="5" spans="1:9">
      <c r="A5" s="30" t="s">
        <v>3856</v>
      </c>
      <c r="B5" s="30" t="s">
        <v>3853</v>
      </c>
      <c r="C5" s="19">
        <v>0</v>
      </c>
      <c r="D5" s="38">
        <v>0</v>
      </c>
      <c r="E5" s="3">
        <v>1000</v>
      </c>
      <c r="F5" s="2" t="s">
        <v>230</v>
      </c>
      <c r="G5" s="2" t="s">
        <v>2864</v>
      </c>
      <c r="H5" s="30">
        <v>2</v>
      </c>
      <c r="I5" s="30" t="s">
        <v>3854</v>
      </c>
    </row>
    <row r="6" spans="1:9">
      <c r="A6" s="30" t="s">
        <v>3752</v>
      </c>
      <c r="B6" s="30" t="s">
        <v>3753</v>
      </c>
      <c r="C6" s="19" t="s">
        <v>186</v>
      </c>
      <c r="D6" s="19" t="s">
        <v>186</v>
      </c>
      <c r="E6" s="19" t="s">
        <v>186</v>
      </c>
      <c r="F6" s="2" t="s">
        <v>230</v>
      </c>
      <c r="G6" s="2" t="s">
        <v>2864</v>
      </c>
      <c r="H6" s="30">
        <v>2</v>
      </c>
      <c r="I6" s="30" t="s">
        <v>3862</v>
      </c>
    </row>
    <row r="7" spans="1:9">
      <c r="A7" s="30" t="s">
        <v>3653</v>
      </c>
      <c r="B7" s="30" t="s">
        <v>3754</v>
      </c>
      <c r="C7" s="19" t="s">
        <v>186</v>
      </c>
      <c r="D7" s="19" t="s">
        <v>186</v>
      </c>
      <c r="E7" s="19" t="s">
        <v>186</v>
      </c>
      <c r="F7" s="2" t="s">
        <v>230</v>
      </c>
      <c r="G7" s="2" t="s">
        <v>2864</v>
      </c>
      <c r="H7" s="30">
        <f t="shared" ref="H7:H68" si="0">ROW()-3</f>
        <v>4</v>
      </c>
      <c r="I7" s="30"/>
    </row>
    <row r="8" spans="1:9">
      <c r="A8" s="30" t="s">
        <v>3654</v>
      </c>
      <c r="B8" s="30" t="s">
        <v>3755</v>
      </c>
      <c r="C8" s="19" t="s">
        <v>186</v>
      </c>
      <c r="D8" s="19" t="s">
        <v>186</v>
      </c>
      <c r="E8" s="19" t="s">
        <v>186</v>
      </c>
      <c r="F8" s="2" t="s">
        <v>230</v>
      </c>
      <c r="G8" s="2" t="s">
        <v>2864</v>
      </c>
      <c r="H8" s="30">
        <f t="shared" si="0"/>
        <v>5</v>
      </c>
      <c r="I8" s="30"/>
    </row>
    <row r="9" spans="1:9">
      <c r="A9" s="30" t="s">
        <v>3655</v>
      </c>
      <c r="B9" s="30" t="s">
        <v>3756</v>
      </c>
      <c r="C9" s="19" t="s">
        <v>186</v>
      </c>
      <c r="D9" s="19" t="s">
        <v>186</v>
      </c>
      <c r="E9" s="19" t="s">
        <v>186</v>
      </c>
      <c r="F9" s="2" t="s">
        <v>230</v>
      </c>
      <c r="G9" s="2" t="s">
        <v>2864</v>
      </c>
      <c r="H9" s="30">
        <f t="shared" si="0"/>
        <v>6</v>
      </c>
      <c r="I9" s="30"/>
    </row>
    <row r="10" spans="1:9">
      <c r="A10" s="30" t="s">
        <v>3656</v>
      </c>
      <c r="B10" s="30" t="s">
        <v>3757</v>
      </c>
      <c r="C10" s="19" t="s">
        <v>186</v>
      </c>
      <c r="D10" s="19" t="s">
        <v>186</v>
      </c>
      <c r="E10" s="19" t="s">
        <v>186</v>
      </c>
      <c r="F10" s="2" t="s">
        <v>230</v>
      </c>
      <c r="G10" s="2" t="s">
        <v>2864</v>
      </c>
      <c r="H10" s="30">
        <f t="shared" si="0"/>
        <v>7</v>
      </c>
      <c r="I10" s="30"/>
    </row>
    <row r="11" spans="1:9">
      <c r="A11" s="30" t="s">
        <v>3657</v>
      </c>
      <c r="B11" s="30" t="s">
        <v>3758</v>
      </c>
      <c r="C11" s="19" t="s">
        <v>186</v>
      </c>
      <c r="D11" s="19" t="s">
        <v>186</v>
      </c>
      <c r="E11" s="19" t="s">
        <v>186</v>
      </c>
      <c r="F11" s="2" t="s">
        <v>230</v>
      </c>
      <c r="G11" s="2" t="s">
        <v>2864</v>
      </c>
      <c r="H11" s="30">
        <f t="shared" si="0"/>
        <v>8</v>
      </c>
      <c r="I11" s="30"/>
    </row>
    <row r="12" spans="1:9">
      <c r="A12" s="30" t="s">
        <v>3658</v>
      </c>
      <c r="B12" s="30" t="s">
        <v>3759</v>
      </c>
      <c r="C12" s="19" t="s">
        <v>186</v>
      </c>
      <c r="D12" s="19" t="s">
        <v>186</v>
      </c>
      <c r="E12" s="19" t="s">
        <v>186</v>
      </c>
      <c r="F12" s="2" t="s">
        <v>230</v>
      </c>
      <c r="G12" s="2" t="s">
        <v>2864</v>
      </c>
      <c r="H12" s="30">
        <f t="shared" si="0"/>
        <v>9</v>
      </c>
      <c r="I12" s="30"/>
    </row>
    <row r="13" spans="1:9">
      <c r="A13" s="30" t="s">
        <v>3659</v>
      </c>
      <c r="B13" s="30" t="s">
        <v>3760</v>
      </c>
      <c r="C13" s="19" t="s">
        <v>186</v>
      </c>
      <c r="D13" s="19" t="s">
        <v>186</v>
      </c>
      <c r="E13" s="19" t="s">
        <v>186</v>
      </c>
      <c r="F13" s="2" t="s">
        <v>230</v>
      </c>
      <c r="G13" s="2" t="s">
        <v>2864</v>
      </c>
      <c r="H13" s="30">
        <f t="shared" si="0"/>
        <v>10</v>
      </c>
      <c r="I13" s="30"/>
    </row>
    <row r="14" spans="1:9">
      <c r="A14" s="30" t="s">
        <v>3660</v>
      </c>
      <c r="B14" s="30" t="s">
        <v>3761</v>
      </c>
      <c r="C14" s="19" t="s">
        <v>186</v>
      </c>
      <c r="D14" s="19" t="s">
        <v>186</v>
      </c>
      <c r="E14" s="19" t="s">
        <v>186</v>
      </c>
      <c r="F14" s="2" t="s">
        <v>230</v>
      </c>
      <c r="G14" s="2" t="s">
        <v>2864</v>
      </c>
      <c r="H14" s="30">
        <f t="shared" si="0"/>
        <v>11</v>
      </c>
      <c r="I14" s="30"/>
    </row>
    <row r="15" spans="1:9">
      <c r="A15" s="30" t="s">
        <v>3661</v>
      </c>
      <c r="B15" s="30" t="s">
        <v>3762</v>
      </c>
      <c r="C15" s="19" t="s">
        <v>186</v>
      </c>
      <c r="D15" s="19" t="s">
        <v>186</v>
      </c>
      <c r="E15" s="19" t="s">
        <v>186</v>
      </c>
      <c r="F15" s="2" t="s">
        <v>230</v>
      </c>
      <c r="G15" s="2" t="s">
        <v>2864</v>
      </c>
      <c r="H15" s="30">
        <f t="shared" si="0"/>
        <v>12</v>
      </c>
      <c r="I15" s="30"/>
    </row>
    <row r="16" spans="1:9">
      <c r="A16" s="30" t="s">
        <v>3662</v>
      </c>
      <c r="B16" s="30" t="s">
        <v>3763</v>
      </c>
      <c r="C16" s="19" t="s">
        <v>186</v>
      </c>
      <c r="D16" s="19" t="s">
        <v>186</v>
      </c>
      <c r="E16" s="19" t="s">
        <v>186</v>
      </c>
      <c r="F16" s="2" t="s">
        <v>230</v>
      </c>
      <c r="G16" s="2" t="s">
        <v>2864</v>
      </c>
      <c r="H16" s="30">
        <f t="shared" si="0"/>
        <v>13</v>
      </c>
      <c r="I16" s="30"/>
    </row>
    <row r="17" spans="1:9">
      <c r="A17" s="30" t="s">
        <v>3663</v>
      </c>
      <c r="B17" s="30" t="s">
        <v>3764</v>
      </c>
      <c r="C17" s="19" t="s">
        <v>186</v>
      </c>
      <c r="D17" s="19" t="s">
        <v>186</v>
      </c>
      <c r="E17" s="19" t="s">
        <v>186</v>
      </c>
      <c r="F17" s="2" t="s">
        <v>230</v>
      </c>
      <c r="G17" s="2" t="s">
        <v>2864</v>
      </c>
      <c r="H17" s="30">
        <f t="shared" si="0"/>
        <v>14</v>
      </c>
      <c r="I17" s="30"/>
    </row>
    <row r="18" spans="1:9">
      <c r="A18" s="30" t="s">
        <v>3664</v>
      </c>
      <c r="B18" s="30" t="s">
        <v>3765</v>
      </c>
      <c r="C18" s="19" t="s">
        <v>186</v>
      </c>
      <c r="D18" s="19" t="s">
        <v>186</v>
      </c>
      <c r="E18" s="19" t="s">
        <v>186</v>
      </c>
      <c r="F18" s="2" t="s">
        <v>230</v>
      </c>
      <c r="G18" s="2" t="s">
        <v>2864</v>
      </c>
      <c r="H18" s="30">
        <f t="shared" si="0"/>
        <v>15</v>
      </c>
      <c r="I18" s="30"/>
    </row>
    <row r="19" spans="1:9">
      <c r="A19" s="30" t="s">
        <v>3665</v>
      </c>
      <c r="B19" s="30" t="s">
        <v>3766</v>
      </c>
      <c r="C19" s="19" t="s">
        <v>186</v>
      </c>
      <c r="D19" s="19" t="s">
        <v>186</v>
      </c>
      <c r="E19" s="19" t="s">
        <v>186</v>
      </c>
      <c r="F19" s="2" t="s">
        <v>230</v>
      </c>
      <c r="G19" s="2" t="s">
        <v>2864</v>
      </c>
      <c r="H19" s="30">
        <f t="shared" si="0"/>
        <v>16</v>
      </c>
      <c r="I19" s="30"/>
    </row>
    <row r="20" spans="1:9">
      <c r="A20" s="30" t="s">
        <v>3666</v>
      </c>
      <c r="B20" s="30" t="s">
        <v>3767</v>
      </c>
      <c r="C20" s="19" t="s">
        <v>186</v>
      </c>
      <c r="D20" s="19" t="s">
        <v>186</v>
      </c>
      <c r="E20" s="19" t="s">
        <v>186</v>
      </c>
      <c r="F20" s="2" t="s">
        <v>230</v>
      </c>
      <c r="G20" s="2" t="s">
        <v>2864</v>
      </c>
      <c r="H20" s="30">
        <f t="shared" si="0"/>
        <v>17</v>
      </c>
      <c r="I20" s="30"/>
    </row>
    <row r="21" spans="1:9">
      <c r="A21" s="30" t="s">
        <v>3667</v>
      </c>
      <c r="B21" s="30" t="s">
        <v>3768</v>
      </c>
      <c r="C21" s="19" t="s">
        <v>186</v>
      </c>
      <c r="D21" s="19" t="s">
        <v>186</v>
      </c>
      <c r="E21" s="19" t="s">
        <v>186</v>
      </c>
      <c r="F21" s="2" t="s">
        <v>230</v>
      </c>
      <c r="G21" s="2" t="s">
        <v>2864</v>
      </c>
      <c r="H21" s="30">
        <f t="shared" si="0"/>
        <v>18</v>
      </c>
      <c r="I21" s="30"/>
    </row>
    <row r="22" spans="1:9">
      <c r="A22" s="30" t="s">
        <v>3668</v>
      </c>
      <c r="B22" s="30" t="s">
        <v>3769</v>
      </c>
      <c r="C22" s="19" t="s">
        <v>186</v>
      </c>
      <c r="D22" s="19" t="s">
        <v>186</v>
      </c>
      <c r="E22" s="19" t="s">
        <v>186</v>
      </c>
      <c r="F22" s="2" t="s">
        <v>230</v>
      </c>
      <c r="G22" s="2" t="s">
        <v>2864</v>
      </c>
      <c r="H22" s="30">
        <f t="shared" si="0"/>
        <v>19</v>
      </c>
      <c r="I22" s="30"/>
    </row>
    <row r="23" spans="1:9">
      <c r="A23" s="30" t="s">
        <v>3669</v>
      </c>
      <c r="B23" s="30" t="s">
        <v>3770</v>
      </c>
      <c r="C23" s="19" t="s">
        <v>186</v>
      </c>
      <c r="D23" s="19" t="s">
        <v>186</v>
      </c>
      <c r="E23" s="19" t="s">
        <v>186</v>
      </c>
      <c r="F23" s="2" t="s">
        <v>230</v>
      </c>
      <c r="G23" s="2" t="s">
        <v>2864</v>
      </c>
      <c r="H23" s="30">
        <f t="shared" si="0"/>
        <v>20</v>
      </c>
      <c r="I23" s="30"/>
    </row>
    <row r="24" spans="1:9">
      <c r="A24" s="30" t="s">
        <v>3670</v>
      </c>
      <c r="B24" s="30" t="s">
        <v>3771</v>
      </c>
      <c r="C24" s="19" t="s">
        <v>186</v>
      </c>
      <c r="D24" s="19" t="s">
        <v>186</v>
      </c>
      <c r="E24" s="19" t="s">
        <v>186</v>
      </c>
      <c r="F24" s="2" t="s">
        <v>230</v>
      </c>
      <c r="G24" s="2" t="s">
        <v>2864</v>
      </c>
      <c r="H24" s="30">
        <f t="shared" si="0"/>
        <v>21</v>
      </c>
      <c r="I24" s="30"/>
    </row>
    <row r="25" spans="1:9">
      <c r="A25" s="30" t="s">
        <v>3671</v>
      </c>
      <c r="B25" s="30" t="s">
        <v>3772</v>
      </c>
      <c r="C25" s="19" t="s">
        <v>186</v>
      </c>
      <c r="D25" s="19" t="s">
        <v>186</v>
      </c>
      <c r="E25" s="19" t="s">
        <v>186</v>
      </c>
      <c r="F25" s="2" t="s">
        <v>230</v>
      </c>
      <c r="G25" s="2" t="s">
        <v>2864</v>
      </c>
      <c r="H25" s="30">
        <f t="shared" si="0"/>
        <v>22</v>
      </c>
      <c r="I25" s="30"/>
    </row>
    <row r="26" spans="1:9">
      <c r="A26" s="30" t="s">
        <v>3672</v>
      </c>
      <c r="B26" s="30" t="s">
        <v>3773</v>
      </c>
      <c r="C26" s="19" t="s">
        <v>186</v>
      </c>
      <c r="D26" s="19" t="s">
        <v>186</v>
      </c>
      <c r="E26" s="19" t="s">
        <v>186</v>
      </c>
      <c r="F26" s="2" t="s">
        <v>230</v>
      </c>
      <c r="G26" s="2" t="s">
        <v>2864</v>
      </c>
      <c r="H26" s="30">
        <f t="shared" si="0"/>
        <v>23</v>
      </c>
      <c r="I26" s="30"/>
    </row>
    <row r="27" spans="1:9">
      <c r="A27" s="30" t="s">
        <v>3673</v>
      </c>
      <c r="B27" s="30" t="s">
        <v>3774</v>
      </c>
      <c r="C27" s="19" t="s">
        <v>186</v>
      </c>
      <c r="D27" s="19" t="s">
        <v>186</v>
      </c>
      <c r="E27" s="19" t="s">
        <v>186</v>
      </c>
      <c r="F27" s="2" t="s">
        <v>230</v>
      </c>
      <c r="G27" s="2" t="s">
        <v>2864</v>
      </c>
      <c r="H27" s="30">
        <f t="shared" si="0"/>
        <v>24</v>
      </c>
      <c r="I27" s="30"/>
    </row>
    <row r="28" spans="1:9">
      <c r="A28" s="30" t="s">
        <v>3674</v>
      </c>
      <c r="B28" s="30" t="s">
        <v>3775</v>
      </c>
      <c r="C28" s="19" t="s">
        <v>186</v>
      </c>
      <c r="D28" s="19" t="s">
        <v>186</v>
      </c>
      <c r="E28" s="19" t="s">
        <v>186</v>
      </c>
      <c r="F28" s="2" t="s">
        <v>230</v>
      </c>
      <c r="G28" s="2" t="s">
        <v>2864</v>
      </c>
      <c r="H28" s="30">
        <f t="shared" si="0"/>
        <v>25</v>
      </c>
      <c r="I28" s="30"/>
    </row>
    <row r="29" spans="1:9">
      <c r="A29" s="30" t="s">
        <v>3675</v>
      </c>
      <c r="B29" s="30" t="s">
        <v>3776</v>
      </c>
      <c r="C29" s="19" t="s">
        <v>186</v>
      </c>
      <c r="D29" s="19" t="s">
        <v>186</v>
      </c>
      <c r="E29" s="19" t="s">
        <v>186</v>
      </c>
      <c r="F29" s="2" t="s">
        <v>230</v>
      </c>
      <c r="G29" s="2" t="s">
        <v>2864</v>
      </c>
      <c r="H29" s="30">
        <f t="shared" si="0"/>
        <v>26</v>
      </c>
      <c r="I29" s="30"/>
    </row>
    <row r="30" spans="1:9">
      <c r="A30" s="30" t="s">
        <v>3676</v>
      </c>
      <c r="B30" s="30" t="s">
        <v>3777</v>
      </c>
      <c r="C30" s="19" t="s">
        <v>186</v>
      </c>
      <c r="D30" s="19" t="s">
        <v>186</v>
      </c>
      <c r="E30" s="19" t="s">
        <v>186</v>
      </c>
      <c r="F30" s="2" t="s">
        <v>230</v>
      </c>
      <c r="G30" s="2" t="s">
        <v>2864</v>
      </c>
      <c r="H30" s="30">
        <f t="shared" si="0"/>
        <v>27</v>
      </c>
      <c r="I30" s="30"/>
    </row>
    <row r="31" spans="1:9">
      <c r="A31" s="30" t="s">
        <v>3677</v>
      </c>
      <c r="B31" s="30" t="s">
        <v>3778</v>
      </c>
      <c r="C31" s="19" t="s">
        <v>186</v>
      </c>
      <c r="D31" s="19" t="s">
        <v>186</v>
      </c>
      <c r="E31" s="19" t="s">
        <v>186</v>
      </c>
      <c r="F31" s="2" t="s">
        <v>230</v>
      </c>
      <c r="G31" s="2" t="s">
        <v>2864</v>
      </c>
      <c r="H31" s="30">
        <f t="shared" si="0"/>
        <v>28</v>
      </c>
      <c r="I31" s="30"/>
    </row>
    <row r="32" spans="1:9">
      <c r="A32" s="30" t="s">
        <v>3678</v>
      </c>
      <c r="B32" s="30" t="s">
        <v>3779</v>
      </c>
      <c r="C32" s="19" t="s">
        <v>186</v>
      </c>
      <c r="D32" s="19" t="s">
        <v>186</v>
      </c>
      <c r="E32" s="19" t="s">
        <v>186</v>
      </c>
      <c r="F32" s="2" t="s">
        <v>230</v>
      </c>
      <c r="G32" s="2" t="s">
        <v>2864</v>
      </c>
      <c r="H32" s="30">
        <f t="shared" si="0"/>
        <v>29</v>
      </c>
      <c r="I32" s="30"/>
    </row>
    <row r="33" spans="1:9">
      <c r="A33" s="30" t="s">
        <v>3679</v>
      </c>
      <c r="B33" s="30" t="s">
        <v>3780</v>
      </c>
      <c r="C33" s="19" t="s">
        <v>186</v>
      </c>
      <c r="D33" s="19" t="s">
        <v>186</v>
      </c>
      <c r="E33" s="19" t="s">
        <v>186</v>
      </c>
      <c r="F33" s="2" t="s">
        <v>230</v>
      </c>
      <c r="G33" s="2" t="s">
        <v>2864</v>
      </c>
      <c r="H33" s="30">
        <f t="shared" si="0"/>
        <v>30</v>
      </c>
      <c r="I33" s="30"/>
    </row>
    <row r="34" spans="1:9">
      <c r="A34" s="30" t="s">
        <v>3680</v>
      </c>
      <c r="B34" s="30" t="s">
        <v>3781</v>
      </c>
      <c r="C34" s="19" t="s">
        <v>186</v>
      </c>
      <c r="D34" s="19" t="s">
        <v>186</v>
      </c>
      <c r="E34" s="19" t="s">
        <v>186</v>
      </c>
      <c r="F34" s="2" t="s">
        <v>230</v>
      </c>
      <c r="G34" s="2" t="s">
        <v>2864</v>
      </c>
      <c r="H34" s="30">
        <f t="shared" si="0"/>
        <v>31</v>
      </c>
      <c r="I34" s="30"/>
    </row>
    <row r="35" spans="1:9">
      <c r="A35" s="30" t="s">
        <v>3681</v>
      </c>
      <c r="B35" s="30" t="s">
        <v>3782</v>
      </c>
      <c r="C35" s="19" t="s">
        <v>186</v>
      </c>
      <c r="D35" s="19" t="s">
        <v>186</v>
      </c>
      <c r="E35" s="19" t="s">
        <v>186</v>
      </c>
      <c r="F35" s="2" t="s">
        <v>230</v>
      </c>
      <c r="G35" s="2" t="s">
        <v>2864</v>
      </c>
      <c r="H35" s="30">
        <f t="shared" si="0"/>
        <v>32</v>
      </c>
      <c r="I35" s="30"/>
    </row>
    <row r="36" spans="1:9">
      <c r="A36" s="30" t="s">
        <v>3682</v>
      </c>
      <c r="B36" s="30" t="s">
        <v>3783</v>
      </c>
      <c r="C36" s="19" t="s">
        <v>186</v>
      </c>
      <c r="D36" s="19" t="s">
        <v>186</v>
      </c>
      <c r="E36" s="19" t="s">
        <v>186</v>
      </c>
      <c r="F36" s="2" t="s">
        <v>230</v>
      </c>
      <c r="G36" s="2" t="s">
        <v>2864</v>
      </c>
      <c r="H36" s="30">
        <f t="shared" si="0"/>
        <v>33</v>
      </c>
      <c r="I36" s="30"/>
    </row>
    <row r="37" spans="1:9">
      <c r="A37" s="30" t="s">
        <v>3683</v>
      </c>
      <c r="B37" s="30" t="s">
        <v>3784</v>
      </c>
      <c r="C37" s="19" t="s">
        <v>186</v>
      </c>
      <c r="D37" s="19" t="s">
        <v>186</v>
      </c>
      <c r="E37" s="19" t="s">
        <v>186</v>
      </c>
      <c r="F37" s="2" t="s">
        <v>230</v>
      </c>
      <c r="G37" s="2" t="s">
        <v>2864</v>
      </c>
      <c r="H37" s="30">
        <f t="shared" si="0"/>
        <v>34</v>
      </c>
      <c r="I37" s="30"/>
    </row>
    <row r="38" spans="1:9">
      <c r="A38" s="30" t="s">
        <v>3684</v>
      </c>
      <c r="B38" s="30" t="s">
        <v>3785</v>
      </c>
      <c r="C38" s="19" t="s">
        <v>186</v>
      </c>
      <c r="D38" s="19" t="s">
        <v>186</v>
      </c>
      <c r="E38" s="19" t="s">
        <v>186</v>
      </c>
      <c r="F38" s="2" t="s">
        <v>230</v>
      </c>
      <c r="G38" s="2" t="s">
        <v>2864</v>
      </c>
      <c r="H38" s="30">
        <f t="shared" si="0"/>
        <v>35</v>
      </c>
      <c r="I38" s="30"/>
    </row>
    <row r="39" spans="1:9">
      <c r="A39" s="30" t="s">
        <v>3685</v>
      </c>
      <c r="B39" s="30" t="s">
        <v>3786</v>
      </c>
      <c r="C39" s="19" t="s">
        <v>186</v>
      </c>
      <c r="D39" s="19" t="s">
        <v>186</v>
      </c>
      <c r="E39" s="19" t="s">
        <v>186</v>
      </c>
      <c r="F39" s="2" t="s">
        <v>230</v>
      </c>
      <c r="G39" s="2" t="s">
        <v>2864</v>
      </c>
      <c r="H39" s="30">
        <f t="shared" si="0"/>
        <v>36</v>
      </c>
      <c r="I39" s="30"/>
    </row>
    <row r="40" spans="1:9">
      <c r="A40" s="30" t="s">
        <v>3686</v>
      </c>
      <c r="B40" s="30" t="s">
        <v>3787</v>
      </c>
      <c r="C40" s="19" t="s">
        <v>186</v>
      </c>
      <c r="D40" s="19" t="s">
        <v>186</v>
      </c>
      <c r="E40" s="19" t="s">
        <v>186</v>
      </c>
      <c r="F40" s="2" t="s">
        <v>230</v>
      </c>
      <c r="G40" s="2" t="s">
        <v>2864</v>
      </c>
      <c r="H40" s="30">
        <f t="shared" si="0"/>
        <v>37</v>
      </c>
      <c r="I40" s="30"/>
    </row>
    <row r="41" spans="1:9">
      <c r="A41" s="30" t="s">
        <v>3687</v>
      </c>
      <c r="B41" s="30" t="s">
        <v>3788</v>
      </c>
      <c r="C41" s="19" t="s">
        <v>186</v>
      </c>
      <c r="D41" s="19" t="s">
        <v>186</v>
      </c>
      <c r="E41" s="19" t="s">
        <v>186</v>
      </c>
      <c r="F41" s="2" t="s">
        <v>230</v>
      </c>
      <c r="G41" s="2" t="s">
        <v>2864</v>
      </c>
      <c r="H41" s="30">
        <f t="shared" si="0"/>
        <v>38</v>
      </c>
      <c r="I41" s="30"/>
    </row>
    <row r="42" spans="1:9">
      <c r="A42" s="30" t="s">
        <v>3688</v>
      </c>
      <c r="B42" s="30" t="s">
        <v>3789</v>
      </c>
      <c r="C42" s="19" t="s">
        <v>186</v>
      </c>
      <c r="D42" s="19" t="s">
        <v>186</v>
      </c>
      <c r="E42" s="19" t="s">
        <v>186</v>
      </c>
      <c r="F42" s="2" t="s">
        <v>230</v>
      </c>
      <c r="G42" s="2" t="s">
        <v>2864</v>
      </c>
      <c r="H42" s="30">
        <f t="shared" si="0"/>
        <v>39</v>
      </c>
      <c r="I42" s="30"/>
    </row>
    <row r="43" spans="1:9">
      <c r="A43" s="30" t="s">
        <v>3689</v>
      </c>
      <c r="B43" s="30" t="s">
        <v>3790</v>
      </c>
      <c r="C43" s="19" t="s">
        <v>186</v>
      </c>
      <c r="D43" s="19" t="s">
        <v>186</v>
      </c>
      <c r="E43" s="19" t="s">
        <v>186</v>
      </c>
      <c r="F43" s="2" t="s">
        <v>230</v>
      </c>
      <c r="G43" s="2" t="s">
        <v>2864</v>
      </c>
      <c r="H43" s="30">
        <f t="shared" si="0"/>
        <v>40</v>
      </c>
      <c r="I43" s="30"/>
    </row>
    <row r="44" spans="1:9">
      <c r="A44" s="30" t="s">
        <v>3690</v>
      </c>
      <c r="B44" s="30" t="s">
        <v>3791</v>
      </c>
      <c r="C44" s="19" t="s">
        <v>186</v>
      </c>
      <c r="D44" s="19" t="s">
        <v>186</v>
      </c>
      <c r="E44" s="19" t="s">
        <v>186</v>
      </c>
      <c r="F44" s="2" t="s">
        <v>230</v>
      </c>
      <c r="G44" s="2" t="s">
        <v>2864</v>
      </c>
      <c r="H44" s="30">
        <f t="shared" si="0"/>
        <v>41</v>
      </c>
      <c r="I44" s="30"/>
    </row>
    <row r="45" spans="1:9">
      <c r="A45" s="30" t="s">
        <v>3691</v>
      </c>
      <c r="B45" s="30" t="s">
        <v>3792</v>
      </c>
      <c r="C45" s="19" t="s">
        <v>186</v>
      </c>
      <c r="D45" s="19" t="s">
        <v>186</v>
      </c>
      <c r="E45" s="19" t="s">
        <v>186</v>
      </c>
      <c r="F45" s="2" t="s">
        <v>230</v>
      </c>
      <c r="G45" s="2" t="s">
        <v>2864</v>
      </c>
      <c r="H45" s="30">
        <f t="shared" si="0"/>
        <v>42</v>
      </c>
      <c r="I45" s="30"/>
    </row>
    <row r="46" spans="1:9">
      <c r="A46" s="30" t="s">
        <v>3692</v>
      </c>
      <c r="B46" s="30" t="s">
        <v>3793</v>
      </c>
      <c r="C46" s="19" t="s">
        <v>186</v>
      </c>
      <c r="D46" s="19" t="s">
        <v>186</v>
      </c>
      <c r="E46" s="19" t="s">
        <v>186</v>
      </c>
      <c r="F46" s="2" t="s">
        <v>230</v>
      </c>
      <c r="G46" s="2" t="s">
        <v>2864</v>
      </c>
      <c r="H46" s="30">
        <f t="shared" si="0"/>
        <v>43</v>
      </c>
      <c r="I46" s="30"/>
    </row>
    <row r="47" spans="1:9">
      <c r="A47" s="30" t="s">
        <v>3693</v>
      </c>
      <c r="B47" s="30" t="s">
        <v>3794</v>
      </c>
      <c r="C47" s="19" t="s">
        <v>186</v>
      </c>
      <c r="D47" s="19" t="s">
        <v>186</v>
      </c>
      <c r="E47" s="19" t="s">
        <v>186</v>
      </c>
      <c r="F47" s="2" t="s">
        <v>230</v>
      </c>
      <c r="G47" s="2" t="s">
        <v>2864</v>
      </c>
      <c r="H47" s="30">
        <f t="shared" si="0"/>
        <v>44</v>
      </c>
      <c r="I47" s="30"/>
    </row>
    <row r="48" spans="1:9">
      <c r="A48" s="30" t="s">
        <v>3694</v>
      </c>
      <c r="B48" s="30" t="s">
        <v>3795</v>
      </c>
      <c r="C48" s="19" t="s">
        <v>186</v>
      </c>
      <c r="D48" s="19" t="s">
        <v>186</v>
      </c>
      <c r="E48" s="19" t="s">
        <v>186</v>
      </c>
      <c r="F48" s="2" t="s">
        <v>230</v>
      </c>
      <c r="G48" s="2" t="s">
        <v>2864</v>
      </c>
      <c r="H48" s="30">
        <f t="shared" si="0"/>
        <v>45</v>
      </c>
      <c r="I48" s="30"/>
    </row>
    <row r="49" spans="1:9">
      <c r="A49" s="30" t="s">
        <v>3695</v>
      </c>
      <c r="B49" s="30" t="s">
        <v>3796</v>
      </c>
      <c r="C49" s="19" t="s">
        <v>186</v>
      </c>
      <c r="D49" s="19" t="s">
        <v>186</v>
      </c>
      <c r="E49" s="19" t="s">
        <v>186</v>
      </c>
      <c r="F49" s="2" t="s">
        <v>230</v>
      </c>
      <c r="G49" s="2" t="s">
        <v>2864</v>
      </c>
      <c r="H49" s="30">
        <f t="shared" si="0"/>
        <v>46</v>
      </c>
      <c r="I49" s="30"/>
    </row>
    <row r="50" spans="1:9">
      <c r="A50" s="30" t="s">
        <v>3696</v>
      </c>
      <c r="B50" s="30" t="s">
        <v>3797</v>
      </c>
      <c r="C50" s="19" t="s">
        <v>186</v>
      </c>
      <c r="D50" s="19" t="s">
        <v>186</v>
      </c>
      <c r="E50" s="19" t="s">
        <v>186</v>
      </c>
      <c r="F50" s="2" t="s">
        <v>230</v>
      </c>
      <c r="G50" s="2" t="s">
        <v>2864</v>
      </c>
      <c r="H50" s="30">
        <f t="shared" si="0"/>
        <v>47</v>
      </c>
      <c r="I50" s="30"/>
    </row>
    <row r="51" spans="1:9">
      <c r="A51" s="30" t="s">
        <v>3697</v>
      </c>
      <c r="B51" s="30" t="s">
        <v>3798</v>
      </c>
      <c r="C51" s="19" t="s">
        <v>186</v>
      </c>
      <c r="D51" s="19" t="s">
        <v>186</v>
      </c>
      <c r="E51" s="19" t="s">
        <v>186</v>
      </c>
      <c r="F51" s="2" t="s">
        <v>230</v>
      </c>
      <c r="G51" s="2" t="s">
        <v>2864</v>
      </c>
      <c r="H51" s="30">
        <f t="shared" si="0"/>
        <v>48</v>
      </c>
      <c r="I51" s="30"/>
    </row>
    <row r="52" spans="1:9">
      <c r="A52" s="30" t="s">
        <v>3698</v>
      </c>
      <c r="B52" s="30" t="s">
        <v>3799</v>
      </c>
      <c r="C52" s="19" t="s">
        <v>186</v>
      </c>
      <c r="D52" s="19" t="s">
        <v>186</v>
      </c>
      <c r="E52" s="19" t="s">
        <v>186</v>
      </c>
      <c r="F52" s="2" t="s">
        <v>230</v>
      </c>
      <c r="G52" s="2" t="s">
        <v>2864</v>
      </c>
      <c r="H52" s="30">
        <f t="shared" si="0"/>
        <v>49</v>
      </c>
      <c r="I52" s="30"/>
    </row>
    <row r="53" spans="1:9">
      <c r="A53" s="30" t="s">
        <v>3699</v>
      </c>
      <c r="B53" s="30" t="s">
        <v>3800</v>
      </c>
      <c r="C53" s="19" t="s">
        <v>186</v>
      </c>
      <c r="D53" s="19" t="s">
        <v>186</v>
      </c>
      <c r="E53" s="19" t="s">
        <v>186</v>
      </c>
      <c r="F53" s="2" t="s">
        <v>230</v>
      </c>
      <c r="G53" s="2" t="s">
        <v>2864</v>
      </c>
      <c r="H53" s="30">
        <f t="shared" si="0"/>
        <v>50</v>
      </c>
      <c r="I53" s="30"/>
    </row>
    <row r="54" spans="1:9">
      <c r="A54" s="30" t="s">
        <v>3700</v>
      </c>
      <c r="B54" s="30" t="s">
        <v>3801</v>
      </c>
      <c r="C54" s="19" t="s">
        <v>186</v>
      </c>
      <c r="D54" s="19" t="s">
        <v>186</v>
      </c>
      <c r="E54" s="19" t="s">
        <v>186</v>
      </c>
      <c r="F54" s="2" t="s">
        <v>230</v>
      </c>
      <c r="G54" s="2" t="s">
        <v>2864</v>
      </c>
      <c r="H54" s="30">
        <f t="shared" si="0"/>
        <v>51</v>
      </c>
      <c r="I54" s="30"/>
    </row>
    <row r="55" spans="1:9">
      <c r="A55" s="30" t="s">
        <v>3701</v>
      </c>
      <c r="B55" s="30" t="s">
        <v>3802</v>
      </c>
      <c r="C55" s="19" t="s">
        <v>186</v>
      </c>
      <c r="D55" s="19" t="s">
        <v>186</v>
      </c>
      <c r="E55" s="19" t="s">
        <v>186</v>
      </c>
      <c r="F55" s="2" t="s">
        <v>230</v>
      </c>
      <c r="G55" s="2" t="s">
        <v>2864</v>
      </c>
      <c r="H55" s="30">
        <f t="shared" si="0"/>
        <v>52</v>
      </c>
      <c r="I55" s="30"/>
    </row>
    <row r="56" spans="1:9">
      <c r="A56" s="30" t="s">
        <v>3702</v>
      </c>
      <c r="B56" s="30" t="s">
        <v>3803</v>
      </c>
      <c r="C56" s="19" t="s">
        <v>186</v>
      </c>
      <c r="D56" s="19" t="s">
        <v>186</v>
      </c>
      <c r="E56" s="19" t="s">
        <v>186</v>
      </c>
      <c r="F56" s="2" t="s">
        <v>230</v>
      </c>
      <c r="G56" s="2" t="s">
        <v>2864</v>
      </c>
      <c r="H56" s="30">
        <f t="shared" si="0"/>
        <v>53</v>
      </c>
      <c r="I56" s="30"/>
    </row>
    <row r="57" spans="1:9">
      <c r="A57" s="30" t="s">
        <v>3703</v>
      </c>
      <c r="B57" s="30" t="s">
        <v>3804</v>
      </c>
      <c r="C57" s="19" t="s">
        <v>186</v>
      </c>
      <c r="D57" s="19" t="s">
        <v>186</v>
      </c>
      <c r="E57" s="19" t="s">
        <v>186</v>
      </c>
      <c r="F57" s="2" t="s">
        <v>230</v>
      </c>
      <c r="G57" s="2" t="s">
        <v>2864</v>
      </c>
      <c r="H57" s="30">
        <f t="shared" si="0"/>
        <v>54</v>
      </c>
      <c r="I57" s="30"/>
    </row>
    <row r="58" spans="1:9">
      <c r="A58" s="30" t="s">
        <v>3704</v>
      </c>
      <c r="B58" s="30" t="s">
        <v>3805</v>
      </c>
      <c r="C58" s="19" t="s">
        <v>186</v>
      </c>
      <c r="D58" s="19" t="s">
        <v>186</v>
      </c>
      <c r="E58" s="19" t="s">
        <v>186</v>
      </c>
      <c r="F58" s="2" t="s">
        <v>230</v>
      </c>
      <c r="G58" s="2" t="s">
        <v>2864</v>
      </c>
      <c r="H58" s="30">
        <f t="shared" si="0"/>
        <v>55</v>
      </c>
      <c r="I58" s="30"/>
    </row>
    <row r="59" spans="1:9">
      <c r="A59" s="30" t="s">
        <v>3705</v>
      </c>
      <c r="B59" s="30" t="s">
        <v>3806</v>
      </c>
      <c r="C59" s="19" t="s">
        <v>186</v>
      </c>
      <c r="D59" s="19" t="s">
        <v>186</v>
      </c>
      <c r="E59" s="19" t="s">
        <v>186</v>
      </c>
      <c r="F59" s="2" t="s">
        <v>230</v>
      </c>
      <c r="G59" s="2" t="s">
        <v>2864</v>
      </c>
      <c r="H59" s="30">
        <f t="shared" si="0"/>
        <v>56</v>
      </c>
      <c r="I59" s="30"/>
    </row>
    <row r="60" spans="1:9">
      <c r="A60" s="30" t="s">
        <v>3706</v>
      </c>
      <c r="B60" s="30" t="s">
        <v>3807</v>
      </c>
      <c r="C60" s="19" t="s">
        <v>186</v>
      </c>
      <c r="D60" s="19" t="s">
        <v>186</v>
      </c>
      <c r="E60" s="19" t="s">
        <v>186</v>
      </c>
      <c r="F60" s="2" t="s">
        <v>230</v>
      </c>
      <c r="G60" s="2" t="s">
        <v>2864</v>
      </c>
      <c r="H60" s="30">
        <f t="shared" si="0"/>
        <v>57</v>
      </c>
      <c r="I60" s="30"/>
    </row>
    <row r="61" spans="1:9">
      <c r="A61" s="30" t="s">
        <v>3707</v>
      </c>
      <c r="B61" s="30" t="s">
        <v>3808</v>
      </c>
      <c r="C61" s="19" t="s">
        <v>186</v>
      </c>
      <c r="D61" s="19" t="s">
        <v>186</v>
      </c>
      <c r="E61" s="19" t="s">
        <v>186</v>
      </c>
      <c r="F61" s="2" t="s">
        <v>230</v>
      </c>
      <c r="G61" s="2" t="s">
        <v>2864</v>
      </c>
      <c r="H61" s="30">
        <f t="shared" si="0"/>
        <v>58</v>
      </c>
      <c r="I61" s="30"/>
    </row>
    <row r="62" spans="1:9">
      <c r="A62" s="30" t="s">
        <v>3708</v>
      </c>
      <c r="B62" s="30" t="s">
        <v>3809</v>
      </c>
      <c r="C62" s="19" t="s">
        <v>186</v>
      </c>
      <c r="D62" s="19" t="s">
        <v>186</v>
      </c>
      <c r="E62" s="19" t="s">
        <v>186</v>
      </c>
      <c r="F62" s="2" t="s">
        <v>230</v>
      </c>
      <c r="G62" s="2" t="s">
        <v>2864</v>
      </c>
      <c r="H62" s="30">
        <f t="shared" si="0"/>
        <v>59</v>
      </c>
      <c r="I62" s="30"/>
    </row>
    <row r="63" spans="1:9">
      <c r="A63" s="30" t="s">
        <v>3709</v>
      </c>
      <c r="B63" s="30" t="s">
        <v>3810</v>
      </c>
      <c r="C63" s="19" t="s">
        <v>186</v>
      </c>
      <c r="D63" s="19" t="s">
        <v>186</v>
      </c>
      <c r="E63" s="19" t="s">
        <v>186</v>
      </c>
      <c r="F63" s="2" t="s">
        <v>230</v>
      </c>
      <c r="G63" s="2" t="s">
        <v>2864</v>
      </c>
      <c r="H63" s="30">
        <f t="shared" si="0"/>
        <v>60</v>
      </c>
      <c r="I63" s="30"/>
    </row>
    <row r="64" spans="1:9">
      <c r="A64" s="30" t="s">
        <v>3710</v>
      </c>
      <c r="B64" s="30" t="s">
        <v>3811</v>
      </c>
      <c r="C64" s="19" t="s">
        <v>186</v>
      </c>
      <c r="D64" s="19" t="s">
        <v>186</v>
      </c>
      <c r="E64" s="19" t="s">
        <v>186</v>
      </c>
      <c r="F64" s="2" t="s">
        <v>230</v>
      </c>
      <c r="G64" s="2" t="s">
        <v>2864</v>
      </c>
      <c r="H64" s="30">
        <f t="shared" si="0"/>
        <v>61</v>
      </c>
      <c r="I64" s="30"/>
    </row>
    <row r="65" spans="1:9">
      <c r="A65" s="30" t="s">
        <v>3711</v>
      </c>
      <c r="B65" s="30" t="s">
        <v>3812</v>
      </c>
      <c r="C65" s="19" t="s">
        <v>186</v>
      </c>
      <c r="D65" s="19" t="s">
        <v>186</v>
      </c>
      <c r="E65" s="19" t="s">
        <v>186</v>
      </c>
      <c r="F65" s="2" t="s">
        <v>230</v>
      </c>
      <c r="G65" s="2" t="s">
        <v>2864</v>
      </c>
      <c r="H65" s="30">
        <f t="shared" si="0"/>
        <v>62</v>
      </c>
      <c r="I65" s="30"/>
    </row>
    <row r="66" spans="1:9">
      <c r="A66" s="30" t="s">
        <v>3712</v>
      </c>
      <c r="B66" s="30" t="s">
        <v>3813</v>
      </c>
      <c r="C66" s="19" t="s">
        <v>186</v>
      </c>
      <c r="D66" s="19" t="s">
        <v>186</v>
      </c>
      <c r="E66" s="19" t="s">
        <v>186</v>
      </c>
      <c r="F66" s="2" t="s">
        <v>230</v>
      </c>
      <c r="G66" s="2" t="s">
        <v>2864</v>
      </c>
      <c r="H66" s="30">
        <f t="shared" si="0"/>
        <v>63</v>
      </c>
      <c r="I66" s="30"/>
    </row>
    <row r="67" spans="1:9">
      <c r="A67" s="30" t="s">
        <v>3713</v>
      </c>
      <c r="B67" s="30" t="s">
        <v>3814</v>
      </c>
      <c r="C67" s="19" t="s">
        <v>186</v>
      </c>
      <c r="D67" s="19" t="s">
        <v>186</v>
      </c>
      <c r="E67" s="19" t="s">
        <v>186</v>
      </c>
      <c r="F67" s="2" t="s">
        <v>230</v>
      </c>
      <c r="G67" s="2" t="s">
        <v>2864</v>
      </c>
      <c r="H67" s="30">
        <f t="shared" si="0"/>
        <v>64</v>
      </c>
      <c r="I67" s="30"/>
    </row>
    <row r="68" spans="1:9">
      <c r="A68" s="30" t="s">
        <v>3714</v>
      </c>
      <c r="B68" s="30" t="s">
        <v>3815</v>
      </c>
      <c r="C68" s="19" t="s">
        <v>186</v>
      </c>
      <c r="D68" s="19" t="s">
        <v>186</v>
      </c>
      <c r="E68" s="19" t="s">
        <v>186</v>
      </c>
      <c r="F68" s="2" t="s">
        <v>230</v>
      </c>
      <c r="G68" s="2" t="s">
        <v>2864</v>
      </c>
      <c r="H68" s="30">
        <f t="shared" si="0"/>
        <v>65</v>
      </c>
      <c r="I68" s="30"/>
    </row>
    <row r="69" spans="1:9">
      <c r="A69" s="30" t="s">
        <v>3715</v>
      </c>
      <c r="B69" s="30" t="s">
        <v>3816</v>
      </c>
      <c r="C69" s="19" t="s">
        <v>186</v>
      </c>
      <c r="D69" s="19" t="s">
        <v>186</v>
      </c>
      <c r="E69" s="19" t="s">
        <v>186</v>
      </c>
      <c r="F69" s="2" t="s">
        <v>230</v>
      </c>
      <c r="G69" s="2" t="s">
        <v>2864</v>
      </c>
      <c r="H69" s="30">
        <f t="shared" ref="H69:H105" si="1">ROW()-3</f>
        <v>66</v>
      </c>
      <c r="I69" s="30"/>
    </row>
    <row r="70" spans="1:9">
      <c r="A70" s="30" t="s">
        <v>3716</v>
      </c>
      <c r="B70" s="30" t="s">
        <v>3817</v>
      </c>
      <c r="C70" s="19" t="s">
        <v>186</v>
      </c>
      <c r="D70" s="19" t="s">
        <v>186</v>
      </c>
      <c r="E70" s="19" t="s">
        <v>186</v>
      </c>
      <c r="F70" s="2" t="s">
        <v>230</v>
      </c>
      <c r="G70" s="2" t="s">
        <v>2864</v>
      </c>
      <c r="H70" s="30">
        <f t="shared" si="1"/>
        <v>67</v>
      </c>
      <c r="I70" s="30"/>
    </row>
    <row r="71" spans="1:9">
      <c r="A71" s="30" t="s">
        <v>3717</v>
      </c>
      <c r="B71" s="30" t="s">
        <v>3818</v>
      </c>
      <c r="C71" s="19" t="s">
        <v>186</v>
      </c>
      <c r="D71" s="19" t="s">
        <v>186</v>
      </c>
      <c r="E71" s="19" t="s">
        <v>186</v>
      </c>
      <c r="F71" s="2" t="s">
        <v>230</v>
      </c>
      <c r="G71" s="2" t="s">
        <v>2864</v>
      </c>
      <c r="H71" s="30">
        <f t="shared" si="1"/>
        <v>68</v>
      </c>
      <c r="I71" s="30"/>
    </row>
    <row r="72" spans="1:9">
      <c r="A72" s="30" t="s">
        <v>3718</v>
      </c>
      <c r="B72" s="30" t="s">
        <v>3819</v>
      </c>
      <c r="C72" s="19" t="s">
        <v>186</v>
      </c>
      <c r="D72" s="19" t="s">
        <v>186</v>
      </c>
      <c r="E72" s="19" t="s">
        <v>186</v>
      </c>
      <c r="F72" s="2" t="s">
        <v>230</v>
      </c>
      <c r="G72" s="2" t="s">
        <v>2864</v>
      </c>
      <c r="H72" s="30">
        <f t="shared" si="1"/>
        <v>69</v>
      </c>
      <c r="I72" s="30"/>
    </row>
    <row r="73" spans="1:9">
      <c r="A73" s="30" t="s">
        <v>3719</v>
      </c>
      <c r="B73" s="30" t="s">
        <v>3820</v>
      </c>
      <c r="C73" s="19" t="s">
        <v>186</v>
      </c>
      <c r="D73" s="19" t="s">
        <v>186</v>
      </c>
      <c r="E73" s="19" t="s">
        <v>186</v>
      </c>
      <c r="F73" s="2" t="s">
        <v>230</v>
      </c>
      <c r="G73" s="2" t="s">
        <v>2864</v>
      </c>
      <c r="H73" s="30">
        <f t="shared" si="1"/>
        <v>70</v>
      </c>
      <c r="I73" s="30"/>
    </row>
    <row r="74" spans="1:9">
      <c r="A74" s="30" t="s">
        <v>3720</v>
      </c>
      <c r="B74" s="30" t="s">
        <v>3821</v>
      </c>
      <c r="C74" s="19" t="s">
        <v>186</v>
      </c>
      <c r="D74" s="19" t="s">
        <v>186</v>
      </c>
      <c r="E74" s="19" t="s">
        <v>186</v>
      </c>
      <c r="F74" s="2" t="s">
        <v>230</v>
      </c>
      <c r="G74" s="2" t="s">
        <v>2864</v>
      </c>
      <c r="H74" s="30">
        <f t="shared" si="1"/>
        <v>71</v>
      </c>
      <c r="I74" s="30"/>
    </row>
    <row r="75" spans="1:9">
      <c r="A75" s="30" t="s">
        <v>3721</v>
      </c>
      <c r="B75" s="30" t="s">
        <v>3822</v>
      </c>
      <c r="C75" s="19" t="s">
        <v>186</v>
      </c>
      <c r="D75" s="19" t="s">
        <v>186</v>
      </c>
      <c r="E75" s="19" t="s">
        <v>186</v>
      </c>
      <c r="F75" s="2" t="s">
        <v>230</v>
      </c>
      <c r="G75" s="2" t="s">
        <v>2864</v>
      </c>
      <c r="H75" s="30">
        <f t="shared" si="1"/>
        <v>72</v>
      </c>
      <c r="I75" s="30"/>
    </row>
    <row r="76" spans="1:9">
      <c r="A76" s="30" t="s">
        <v>3722</v>
      </c>
      <c r="B76" s="30" t="s">
        <v>3823</v>
      </c>
      <c r="C76" s="19" t="s">
        <v>186</v>
      </c>
      <c r="D76" s="19" t="s">
        <v>186</v>
      </c>
      <c r="E76" s="19" t="s">
        <v>186</v>
      </c>
      <c r="F76" s="2" t="s">
        <v>230</v>
      </c>
      <c r="G76" s="2" t="s">
        <v>2864</v>
      </c>
      <c r="H76" s="30">
        <f t="shared" si="1"/>
        <v>73</v>
      </c>
      <c r="I76" s="30"/>
    </row>
    <row r="77" spans="1:9">
      <c r="A77" s="30" t="s">
        <v>3723</v>
      </c>
      <c r="B77" s="30" t="s">
        <v>3824</v>
      </c>
      <c r="C77" s="19" t="s">
        <v>186</v>
      </c>
      <c r="D77" s="19" t="s">
        <v>186</v>
      </c>
      <c r="E77" s="19" t="s">
        <v>186</v>
      </c>
      <c r="F77" s="2" t="s">
        <v>230</v>
      </c>
      <c r="G77" s="2" t="s">
        <v>2864</v>
      </c>
      <c r="H77" s="30">
        <f t="shared" si="1"/>
        <v>74</v>
      </c>
      <c r="I77" s="30"/>
    </row>
    <row r="78" spans="1:9">
      <c r="A78" s="30" t="s">
        <v>3724</v>
      </c>
      <c r="B78" s="30" t="s">
        <v>3825</v>
      </c>
      <c r="C78" s="19" t="s">
        <v>186</v>
      </c>
      <c r="D78" s="19" t="s">
        <v>186</v>
      </c>
      <c r="E78" s="19" t="s">
        <v>186</v>
      </c>
      <c r="F78" s="2" t="s">
        <v>230</v>
      </c>
      <c r="G78" s="2" t="s">
        <v>2864</v>
      </c>
      <c r="H78" s="30">
        <f t="shared" si="1"/>
        <v>75</v>
      </c>
      <c r="I78" s="30"/>
    </row>
    <row r="79" spans="1:9">
      <c r="A79" s="30" t="s">
        <v>3725</v>
      </c>
      <c r="B79" s="30" t="s">
        <v>3826</v>
      </c>
      <c r="C79" s="19" t="s">
        <v>186</v>
      </c>
      <c r="D79" s="19" t="s">
        <v>186</v>
      </c>
      <c r="E79" s="19" t="s">
        <v>186</v>
      </c>
      <c r="F79" s="2" t="s">
        <v>230</v>
      </c>
      <c r="G79" s="2" t="s">
        <v>2864</v>
      </c>
      <c r="H79" s="30">
        <f t="shared" si="1"/>
        <v>76</v>
      </c>
      <c r="I79" s="30"/>
    </row>
    <row r="80" spans="1:9">
      <c r="A80" s="30" t="s">
        <v>3726</v>
      </c>
      <c r="B80" s="30" t="s">
        <v>3827</v>
      </c>
      <c r="C80" s="19" t="s">
        <v>186</v>
      </c>
      <c r="D80" s="19" t="s">
        <v>186</v>
      </c>
      <c r="E80" s="19" t="s">
        <v>186</v>
      </c>
      <c r="F80" s="2" t="s">
        <v>230</v>
      </c>
      <c r="G80" s="2" t="s">
        <v>2864</v>
      </c>
      <c r="H80" s="30">
        <f t="shared" si="1"/>
        <v>77</v>
      </c>
      <c r="I80" s="30"/>
    </row>
    <row r="81" spans="1:9">
      <c r="A81" s="30" t="s">
        <v>3727</v>
      </c>
      <c r="B81" s="30" t="s">
        <v>3828</v>
      </c>
      <c r="C81" s="19" t="s">
        <v>186</v>
      </c>
      <c r="D81" s="19" t="s">
        <v>186</v>
      </c>
      <c r="E81" s="19" t="s">
        <v>186</v>
      </c>
      <c r="F81" s="2" t="s">
        <v>230</v>
      </c>
      <c r="G81" s="2" t="s">
        <v>2864</v>
      </c>
      <c r="H81" s="30">
        <f t="shared" si="1"/>
        <v>78</v>
      </c>
      <c r="I81" s="30"/>
    </row>
    <row r="82" spans="1:9">
      <c r="A82" s="30" t="s">
        <v>3728</v>
      </c>
      <c r="B82" s="30" t="s">
        <v>3829</v>
      </c>
      <c r="C82" s="19" t="s">
        <v>186</v>
      </c>
      <c r="D82" s="19" t="s">
        <v>186</v>
      </c>
      <c r="E82" s="19" t="s">
        <v>186</v>
      </c>
      <c r="F82" s="2" t="s">
        <v>230</v>
      </c>
      <c r="G82" s="2" t="s">
        <v>2864</v>
      </c>
      <c r="H82" s="30">
        <f t="shared" si="1"/>
        <v>79</v>
      </c>
      <c r="I82" s="30"/>
    </row>
    <row r="83" spans="1:9">
      <c r="A83" s="30" t="s">
        <v>3729</v>
      </c>
      <c r="B83" s="30" t="s">
        <v>3830</v>
      </c>
      <c r="C83" s="19" t="s">
        <v>186</v>
      </c>
      <c r="D83" s="19" t="s">
        <v>186</v>
      </c>
      <c r="E83" s="19" t="s">
        <v>186</v>
      </c>
      <c r="F83" s="2" t="s">
        <v>230</v>
      </c>
      <c r="G83" s="2" t="s">
        <v>2864</v>
      </c>
      <c r="H83" s="30">
        <f t="shared" si="1"/>
        <v>80</v>
      </c>
      <c r="I83" s="30"/>
    </row>
    <row r="84" spans="1:9">
      <c r="A84" s="30" t="s">
        <v>3730</v>
      </c>
      <c r="B84" s="30" t="s">
        <v>3831</v>
      </c>
      <c r="C84" s="19" t="s">
        <v>186</v>
      </c>
      <c r="D84" s="19" t="s">
        <v>186</v>
      </c>
      <c r="E84" s="19" t="s">
        <v>186</v>
      </c>
      <c r="F84" s="2" t="s">
        <v>230</v>
      </c>
      <c r="G84" s="2" t="s">
        <v>2864</v>
      </c>
      <c r="H84" s="30">
        <f t="shared" si="1"/>
        <v>81</v>
      </c>
      <c r="I84" s="30"/>
    </row>
    <row r="85" spans="1:9">
      <c r="A85" s="30" t="s">
        <v>3731</v>
      </c>
      <c r="B85" s="30" t="s">
        <v>3832</v>
      </c>
      <c r="C85" s="19" t="s">
        <v>186</v>
      </c>
      <c r="D85" s="19" t="s">
        <v>186</v>
      </c>
      <c r="E85" s="19" t="s">
        <v>186</v>
      </c>
      <c r="F85" s="2" t="s">
        <v>230</v>
      </c>
      <c r="G85" s="2" t="s">
        <v>2864</v>
      </c>
      <c r="H85" s="30">
        <f t="shared" si="1"/>
        <v>82</v>
      </c>
      <c r="I85" s="30"/>
    </row>
    <row r="86" spans="1:9">
      <c r="A86" s="30" t="s">
        <v>3732</v>
      </c>
      <c r="B86" s="30" t="s">
        <v>3833</v>
      </c>
      <c r="C86" s="19" t="s">
        <v>186</v>
      </c>
      <c r="D86" s="19" t="s">
        <v>186</v>
      </c>
      <c r="E86" s="19" t="s">
        <v>186</v>
      </c>
      <c r="F86" s="2" t="s">
        <v>230</v>
      </c>
      <c r="G86" s="2" t="s">
        <v>2864</v>
      </c>
      <c r="H86" s="30">
        <f t="shared" si="1"/>
        <v>83</v>
      </c>
      <c r="I86" s="30"/>
    </row>
    <row r="87" spans="1:9">
      <c r="A87" s="30" t="s">
        <v>3733</v>
      </c>
      <c r="B87" s="30" t="s">
        <v>3834</v>
      </c>
      <c r="C87" s="19" t="s">
        <v>186</v>
      </c>
      <c r="D87" s="19" t="s">
        <v>186</v>
      </c>
      <c r="E87" s="19" t="s">
        <v>186</v>
      </c>
      <c r="F87" s="2" t="s">
        <v>230</v>
      </c>
      <c r="G87" s="2" t="s">
        <v>2864</v>
      </c>
      <c r="H87" s="30">
        <f t="shared" si="1"/>
        <v>84</v>
      </c>
      <c r="I87" s="30"/>
    </row>
    <row r="88" spans="1:9">
      <c r="A88" s="30" t="s">
        <v>3734</v>
      </c>
      <c r="B88" s="30" t="s">
        <v>3835</v>
      </c>
      <c r="C88" s="19" t="s">
        <v>186</v>
      </c>
      <c r="D88" s="19" t="s">
        <v>186</v>
      </c>
      <c r="E88" s="19" t="s">
        <v>186</v>
      </c>
      <c r="F88" s="2" t="s">
        <v>230</v>
      </c>
      <c r="G88" s="2" t="s">
        <v>2864</v>
      </c>
      <c r="H88" s="30">
        <f t="shared" si="1"/>
        <v>85</v>
      </c>
      <c r="I88" s="30"/>
    </row>
    <row r="89" spans="1:9">
      <c r="A89" s="30" t="s">
        <v>3735</v>
      </c>
      <c r="B89" s="30" t="s">
        <v>3836</v>
      </c>
      <c r="C89" s="19" t="s">
        <v>186</v>
      </c>
      <c r="D89" s="19" t="s">
        <v>186</v>
      </c>
      <c r="E89" s="19" t="s">
        <v>186</v>
      </c>
      <c r="F89" s="2" t="s">
        <v>230</v>
      </c>
      <c r="G89" s="2" t="s">
        <v>2864</v>
      </c>
      <c r="H89" s="30">
        <f t="shared" si="1"/>
        <v>86</v>
      </c>
      <c r="I89" s="30"/>
    </row>
    <row r="90" spans="1:9">
      <c r="A90" s="30" t="s">
        <v>3736</v>
      </c>
      <c r="B90" s="30" t="s">
        <v>3837</v>
      </c>
      <c r="C90" s="19" t="s">
        <v>186</v>
      </c>
      <c r="D90" s="19" t="s">
        <v>186</v>
      </c>
      <c r="E90" s="19" t="s">
        <v>186</v>
      </c>
      <c r="F90" s="2" t="s">
        <v>230</v>
      </c>
      <c r="G90" s="2" t="s">
        <v>2864</v>
      </c>
      <c r="H90" s="30">
        <f t="shared" si="1"/>
        <v>87</v>
      </c>
      <c r="I90" s="30"/>
    </row>
    <row r="91" spans="1:9">
      <c r="A91" s="30" t="s">
        <v>3737</v>
      </c>
      <c r="B91" s="30" t="s">
        <v>3838</v>
      </c>
      <c r="C91" s="19" t="s">
        <v>186</v>
      </c>
      <c r="D91" s="19" t="s">
        <v>186</v>
      </c>
      <c r="E91" s="19" t="s">
        <v>186</v>
      </c>
      <c r="F91" s="2" t="s">
        <v>230</v>
      </c>
      <c r="G91" s="2" t="s">
        <v>2864</v>
      </c>
      <c r="H91" s="30">
        <f t="shared" si="1"/>
        <v>88</v>
      </c>
      <c r="I91" s="30"/>
    </row>
    <row r="92" spans="1:9">
      <c r="A92" s="30" t="s">
        <v>3738</v>
      </c>
      <c r="B92" s="30" t="s">
        <v>3839</v>
      </c>
      <c r="C92" s="19" t="s">
        <v>186</v>
      </c>
      <c r="D92" s="19" t="s">
        <v>186</v>
      </c>
      <c r="E92" s="19" t="s">
        <v>186</v>
      </c>
      <c r="F92" s="2" t="s">
        <v>230</v>
      </c>
      <c r="G92" s="2" t="s">
        <v>2864</v>
      </c>
      <c r="H92" s="30">
        <f t="shared" si="1"/>
        <v>89</v>
      </c>
      <c r="I92" s="30"/>
    </row>
    <row r="93" spans="1:9">
      <c r="A93" s="30" t="s">
        <v>3739</v>
      </c>
      <c r="B93" s="30" t="s">
        <v>3840</v>
      </c>
      <c r="C93" s="19" t="s">
        <v>186</v>
      </c>
      <c r="D93" s="19" t="s">
        <v>186</v>
      </c>
      <c r="E93" s="19" t="s">
        <v>186</v>
      </c>
      <c r="F93" s="2" t="s">
        <v>230</v>
      </c>
      <c r="G93" s="2" t="s">
        <v>2864</v>
      </c>
      <c r="H93" s="30">
        <f t="shared" si="1"/>
        <v>90</v>
      </c>
      <c r="I93" s="30"/>
    </row>
    <row r="94" spans="1:9">
      <c r="A94" s="30" t="s">
        <v>3740</v>
      </c>
      <c r="B94" s="30" t="s">
        <v>3841</v>
      </c>
      <c r="C94" s="19" t="s">
        <v>186</v>
      </c>
      <c r="D94" s="19" t="s">
        <v>186</v>
      </c>
      <c r="E94" s="19" t="s">
        <v>186</v>
      </c>
      <c r="F94" s="2" t="s">
        <v>230</v>
      </c>
      <c r="G94" s="2" t="s">
        <v>2864</v>
      </c>
      <c r="H94" s="30">
        <f t="shared" si="1"/>
        <v>91</v>
      </c>
      <c r="I94" s="30"/>
    </row>
    <row r="95" spans="1:9">
      <c r="A95" s="30" t="s">
        <v>3741</v>
      </c>
      <c r="B95" s="30" t="s">
        <v>3842</v>
      </c>
      <c r="C95" s="19" t="s">
        <v>186</v>
      </c>
      <c r="D95" s="19" t="s">
        <v>186</v>
      </c>
      <c r="E95" s="19" t="s">
        <v>186</v>
      </c>
      <c r="F95" s="2" t="s">
        <v>230</v>
      </c>
      <c r="G95" s="2" t="s">
        <v>2864</v>
      </c>
      <c r="H95" s="30">
        <f t="shared" si="1"/>
        <v>92</v>
      </c>
      <c r="I95" s="30"/>
    </row>
    <row r="96" spans="1:9">
      <c r="A96" s="30" t="s">
        <v>3742</v>
      </c>
      <c r="B96" s="30" t="s">
        <v>3843</v>
      </c>
      <c r="C96" s="19" t="s">
        <v>186</v>
      </c>
      <c r="D96" s="19" t="s">
        <v>186</v>
      </c>
      <c r="E96" s="19" t="s">
        <v>186</v>
      </c>
      <c r="F96" s="2" t="s">
        <v>230</v>
      </c>
      <c r="G96" s="2" t="s">
        <v>2864</v>
      </c>
      <c r="H96" s="30">
        <f t="shared" si="1"/>
        <v>93</v>
      </c>
      <c r="I96" s="30"/>
    </row>
    <row r="97" spans="1:9">
      <c r="A97" s="30" t="s">
        <v>3743</v>
      </c>
      <c r="B97" s="30" t="s">
        <v>3844</v>
      </c>
      <c r="C97" s="19" t="s">
        <v>186</v>
      </c>
      <c r="D97" s="19" t="s">
        <v>186</v>
      </c>
      <c r="E97" s="19" t="s">
        <v>186</v>
      </c>
      <c r="F97" s="2" t="s">
        <v>230</v>
      </c>
      <c r="G97" s="2" t="s">
        <v>2864</v>
      </c>
      <c r="H97" s="30">
        <f t="shared" si="1"/>
        <v>94</v>
      </c>
      <c r="I97" s="30"/>
    </row>
    <row r="98" spans="1:9">
      <c r="A98" s="30" t="s">
        <v>3744</v>
      </c>
      <c r="B98" s="30" t="s">
        <v>3845</v>
      </c>
      <c r="C98" s="19" t="s">
        <v>186</v>
      </c>
      <c r="D98" s="19" t="s">
        <v>186</v>
      </c>
      <c r="E98" s="19" t="s">
        <v>186</v>
      </c>
      <c r="F98" s="2" t="s">
        <v>230</v>
      </c>
      <c r="G98" s="2" t="s">
        <v>2864</v>
      </c>
      <c r="H98" s="30">
        <f t="shared" si="1"/>
        <v>95</v>
      </c>
      <c r="I98" s="30"/>
    </row>
    <row r="99" spans="1:9">
      <c r="A99" s="30" t="s">
        <v>3745</v>
      </c>
      <c r="B99" s="30" t="s">
        <v>3846</v>
      </c>
      <c r="C99" s="19" t="s">
        <v>186</v>
      </c>
      <c r="D99" s="19" t="s">
        <v>186</v>
      </c>
      <c r="E99" s="19" t="s">
        <v>186</v>
      </c>
      <c r="F99" s="2" t="s">
        <v>230</v>
      </c>
      <c r="G99" s="2" t="s">
        <v>2864</v>
      </c>
      <c r="H99" s="30">
        <f t="shared" si="1"/>
        <v>96</v>
      </c>
      <c r="I99" s="30"/>
    </row>
    <row r="100" spans="1:9">
      <c r="A100" s="30" t="s">
        <v>3746</v>
      </c>
      <c r="B100" s="30" t="s">
        <v>3847</v>
      </c>
      <c r="C100" s="19" t="s">
        <v>186</v>
      </c>
      <c r="D100" s="19" t="s">
        <v>186</v>
      </c>
      <c r="E100" s="19" t="s">
        <v>186</v>
      </c>
      <c r="F100" s="2" t="s">
        <v>230</v>
      </c>
      <c r="G100" s="2" t="s">
        <v>2864</v>
      </c>
      <c r="H100" s="30">
        <f t="shared" si="1"/>
        <v>97</v>
      </c>
      <c r="I100" s="30"/>
    </row>
    <row r="101" spans="1:9">
      <c r="A101" s="30" t="s">
        <v>3747</v>
      </c>
      <c r="B101" s="30" t="s">
        <v>3848</v>
      </c>
      <c r="C101" s="19" t="s">
        <v>186</v>
      </c>
      <c r="D101" s="19" t="s">
        <v>186</v>
      </c>
      <c r="E101" s="19" t="s">
        <v>186</v>
      </c>
      <c r="F101" s="2" t="s">
        <v>230</v>
      </c>
      <c r="G101" s="2" t="s">
        <v>2864</v>
      </c>
      <c r="H101" s="30">
        <f t="shared" si="1"/>
        <v>98</v>
      </c>
      <c r="I101" s="30"/>
    </row>
    <row r="102" spans="1:9">
      <c r="A102" s="30" t="s">
        <v>3748</v>
      </c>
      <c r="B102" s="30" t="s">
        <v>3849</v>
      </c>
      <c r="C102" s="19" t="s">
        <v>186</v>
      </c>
      <c r="D102" s="19" t="s">
        <v>186</v>
      </c>
      <c r="E102" s="19" t="s">
        <v>186</v>
      </c>
      <c r="F102" s="2" t="s">
        <v>230</v>
      </c>
      <c r="G102" s="2" t="s">
        <v>2864</v>
      </c>
      <c r="H102" s="30">
        <f t="shared" si="1"/>
        <v>99</v>
      </c>
      <c r="I102" s="30"/>
    </row>
    <row r="103" spans="1:9">
      <c r="A103" s="30" t="s">
        <v>3749</v>
      </c>
      <c r="B103" s="30" t="s">
        <v>3850</v>
      </c>
      <c r="C103" s="19" t="s">
        <v>186</v>
      </c>
      <c r="D103" s="19" t="s">
        <v>186</v>
      </c>
      <c r="E103" s="19" t="s">
        <v>186</v>
      </c>
      <c r="F103" s="2" t="s">
        <v>230</v>
      </c>
      <c r="G103" s="2" t="s">
        <v>2864</v>
      </c>
      <c r="H103" s="30">
        <f t="shared" si="1"/>
        <v>100</v>
      </c>
      <c r="I103" s="30"/>
    </row>
    <row r="104" spans="1:9">
      <c r="A104" s="30" t="s">
        <v>3750</v>
      </c>
      <c r="B104" s="30" t="s">
        <v>3851</v>
      </c>
      <c r="C104" s="19" t="s">
        <v>186</v>
      </c>
      <c r="D104" s="19" t="s">
        <v>186</v>
      </c>
      <c r="E104" s="19" t="s">
        <v>186</v>
      </c>
      <c r="F104" s="2" t="s">
        <v>230</v>
      </c>
      <c r="G104" s="2" t="s">
        <v>2864</v>
      </c>
      <c r="H104" s="30">
        <f t="shared" si="1"/>
        <v>101</v>
      </c>
      <c r="I104" s="30"/>
    </row>
    <row r="105" spans="1:9">
      <c r="A105" s="30" t="s">
        <v>3751</v>
      </c>
      <c r="B105" s="30" t="s">
        <v>3852</v>
      </c>
      <c r="C105" s="19" t="s">
        <v>186</v>
      </c>
      <c r="D105" s="19" t="s">
        <v>186</v>
      </c>
      <c r="E105" s="19" t="s">
        <v>186</v>
      </c>
      <c r="F105" s="2" t="s">
        <v>230</v>
      </c>
      <c r="G105" s="2" t="s">
        <v>2864</v>
      </c>
      <c r="H105" s="30">
        <f t="shared" si="1"/>
        <v>102</v>
      </c>
      <c r="I105" s="30"/>
    </row>
  </sheetData>
  <phoneticPr fontId="1"/>
  <dataValidations count="1">
    <dataValidation type="list" allowBlank="1" showInputMessage="1" showErrorMessage="1" sqref="F4:G105" xr:uid="{00000000-0002-0000-0600-000000000000}">
      <formula1>"○,×"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0"/>
  <dimension ref="B3:E138"/>
  <sheetViews>
    <sheetView workbookViewId="0">
      <selection activeCell="B138" sqref="B138"/>
    </sheetView>
  </sheetViews>
  <sheetFormatPr defaultRowHeight="13.5"/>
  <cols>
    <col min="2" max="2" width="27.25" bestFit="1" customWidth="1"/>
    <col min="3" max="3" width="11.625" style="9" bestFit="1" customWidth="1"/>
    <col min="4" max="4" width="61" customWidth="1"/>
  </cols>
  <sheetData>
    <row r="3" spans="2:5">
      <c r="B3" s="7" t="s">
        <v>849</v>
      </c>
      <c r="C3" s="8" t="s">
        <v>265</v>
      </c>
      <c r="D3" s="7" t="s">
        <v>266</v>
      </c>
      <c r="E3" s="7" t="s">
        <v>267</v>
      </c>
    </row>
    <row r="4" spans="2:5" ht="14.25" hidden="1" thickTop="1">
      <c r="B4" s="11" t="s">
        <v>850</v>
      </c>
      <c r="C4" s="12">
        <v>42745</v>
      </c>
      <c r="D4" s="13" t="s">
        <v>269</v>
      </c>
      <c r="E4" s="14" t="s">
        <v>270</v>
      </c>
    </row>
    <row r="5" spans="2:5" hidden="1">
      <c r="B5" s="15" t="s">
        <v>851</v>
      </c>
      <c r="C5" s="16">
        <v>42762</v>
      </c>
      <c r="D5" s="15" t="s">
        <v>271</v>
      </c>
      <c r="E5" s="15" t="s">
        <v>270</v>
      </c>
    </row>
    <row r="6" spans="2:5" hidden="1">
      <c r="B6" s="15" t="s">
        <v>851</v>
      </c>
      <c r="C6" s="16">
        <v>42772</v>
      </c>
      <c r="D6" s="15" t="s">
        <v>268</v>
      </c>
      <c r="E6" s="15" t="s">
        <v>270</v>
      </c>
    </row>
    <row r="7" spans="2:5" ht="40.5" hidden="1">
      <c r="B7" s="15" t="s">
        <v>851</v>
      </c>
      <c r="C7" s="16">
        <v>42787</v>
      </c>
      <c r="D7" s="17" t="s">
        <v>275</v>
      </c>
      <c r="E7" s="15" t="s">
        <v>270</v>
      </c>
    </row>
    <row r="8" spans="2:5" hidden="1">
      <c r="B8" s="15" t="s">
        <v>851</v>
      </c>
      <c r="C8" s="16">
        <v>42790</v>
      </c>
      <c r="D8" s="15" t="s">
        <v>276</v>
      </c>
      <c r="E8" s="15" t="s">
        <v>270</v>
      </c>
    </row>
    <row r="9" spans="2:5" ht="27" hidden="1">
      <c r="B9" s="15" t="s">
        <v>851</v>
      </c>
      <c r="C9" s="16">
        <v>42797</v>
      </c>
      <c r="D9" s="17" t="s">
        <v>823</v>
      </c>
      <c r="E9" s="15" t="s">
        <v>270</v>
      </c>
    </row>
    <row r="10" spans="2:5" ht="27" hidden="1">
      <c r="B10" s="15" t="s">
        <v>1022</v>
      </c>
      <c r="C10" s="16">
        <v>42800</v>
      </c>
      <c r="D10" s="17" t="s">
        <v>830</v>
      </c>
      <c r="E10" s="15" t="s">
        <v>270</v>
      </c>
    </row>
    <row r="11" spans="2:5" hidden="1">
      <c r="B11" s="15" t="s">
        <v>1022</v>
      </c>
      <c r="C11" s="16">
        <v>42810</v>
      </c>
      <c r="D11" s="15" t="s">
        <v>852</v>
      </c>
      <c r="E11" s="15" t="s">
        <v>270</v>
      </c>
    </row>
    <row r="12" spans="2:5" hidden="1">
      <c r="B12" s="15" t="s">
        <v>1023</v>
      </c>
      <c r="C12" s="16">
        <v>42815</v>
      </c>
      <c r="D12" s="15" t="s">
        <v>996</v>
      </c>
      <c r="E12" s="15" t="s">
        <v>270</v>
      </c>
    </row>
    <row r="13" spans="2:5" hidden="1">
      <c r="B13" s="15" t="s">
        <v>1024</v>
      </c>
      <c r="C13" s="16">
        <v>42816</v>
      </c>
      <c r="D13" s="15" t="s">
        <v>997</v>
      </c>
      <c r="E13" s="15" t="s">
        <v>270</v>
      </c>
    </row>
    <row r="14" spans="2:5" hidden="1">
      <c r="B14" s="15" t="s">
        <v>1025</v>
      </c>
      <c r="C14" s="16">
        <v>42822</v>
      </c>
      <c r="D14" s="15" t="s">
        <v>1020</v>
      </c>
      <c r="E14" s="15" t="s">
        <v>270</v>
      </c>
    </row>
    <row r="15" spans="2:5" ht="27" hidden="1">
      <c r="B15" s="15" t="s">
        <v>1028</v>
      </c>
      <c r="C15" s="16">
        <v>42824</v>
      </c>
      <c r="D15" s="17" t="s">
        <v>1026</v>
      </c>
      <c r="E15" s="15" t="s">
        <v>270</v>
      </c>
    </row>
    <row r="16" spans="2:5" ht="40.5" hidden="1">
      <c r="B16" s="15" t="s">
        <v>1029</v>
      </c>
      <c r="C16" s="16">
        <v>42824</v>
      </c>
      <c r="D16" s="17" t="s">
        <v>1031</v>
      </c>
      <c r="E16" s="15" t="s">
        <v>270</v>
      </c>
    </row>
    <row r="17" spans="2:5" ht="27" hidden="1">
      <c r="B17" s="15" t="s">
        <v>1041</v>
      </c>
      <c r="C17" s="31">
        <v>42829</v>
      </c>
      <c r="D17" s="10" t="s">
        <v>1042</v>
      </c>
      <c r="E17" s="15" t="s">
        <v>270</v>
      </c>
    </row>
    <row r="18" spans="2:5" ht="40.5" hidden="1">
      <c r="B18" s="15" t="s">
        <v>1047</v>
      </c>
      <c r="C18" s="31">
        <v>42874</v>
      </c>
      <c r="D18" s="10" t="s">
        <v>1076</v>
      </c>
      <c r="E18" s="15" t="s">
        <v>270</v>
      </c>
    </row>
    <row r="19" spans="2:5" ht="40.5" hidden="1">
      <c r="B19" s="15" t="s">
        <v>1067</v>
      </c>
      <c r="C19" s="31">
        <v>42884</v>
      </c>
      <c r="D19" s="10" t="s">
        <v>1075</v>
      </c>
      <c r="E19" s="15" t="s">
        <v>270</v>
      </c>
    </row>
    <row r="20" spans="2:5" ht="94.5" hidden="1">
      <c r="B20" s="15" t="s">
        <v>1082</v>
      </c>
      <c r="C20" s="31">
        <v>42888</v>
      </c>
      <c r="D20" s="10" t="s">
        <v>1087</v>
      </c>
      <c r="E20" s="15" t="s">
        <v>270</v>
      </c>
    </row>
    <row r="21" spans="2:5" ht="67.5" hidden="1">
      <c r="B21" s="17" t="s">
        <v>1096</v>
      </c>
      <c r="C21" s="31">
        <v>42899</v>
      </c>
      <c r="D21" s="10" t="s">
        <v>1097</v>
      </c>
      <c r="E21" s="15" t="s">
        <v>270</v>
      </c>
    </row>
    <row r="22" spans="2:5" hidden="1">
      <c r="B22" s="17" t="s">
        <v>2650</v>
      </c>
      <c r="C22" s="31">
        <v>42907</v>
      </c>
      <c r="D22" s="10" t="s">
        <v>2651</v>
      </c>
      <c r="E22" s="15" t="s">
        <v>270</v>
      </c>
    </row>
    <row r="23" spans="2:5" ht="27" hidden="1">
      <c r="B23" s="33" t="s">
        <v>2721</v>
      </c>
      <c r="C23" s="31">
        <v>42913</v>
      </c>
      <c r="D23" s="33" t="s">
        <v>2723</v>
      </c>
      <c r="E23" s="15" t="s">
        <v>270</v>
      </c>
    </row>
    <row r="24" spans="2:5" hidden="1">
      <c r="B24" s="17" t="s">
        <v>2722</v>
      </c>
      <c r="C24" s="31">
        <v>42914</v>
      </c>
      <c r="D24" s="33" t="s">
        <v>2724</v>
      </c>
      <c r="E24" s="15" t="s">
        <v>270</v>
      </c>
    </row>
    <row r="25" spans="2:5" hidden="1">
      <c r="B25" s="17" t="s">
        <v>2731</v>
      </c>
      <c r="C25" s="31">
        <v>42919</v>
      </c>
      <c r="D25" s="33" t="s">
        <v>2732</v>
      </c>
      <c r="E25" s="15" t="s">
        <v>270</v>
      </c>
    </row>
    <row r="26" spans="2:5" ht="27" hidden="1">
      <c r="B26" s="17" t="s">
        <v>2742</v>
      </c>
      <c r="C26" s="31">
        <v>42920</v>
      </c>
      <c r="D26" s="33" t="s">
        <v>2768</v>
      </c>
      <c r="E26" s="15" t="s">
        <v>270</v>
      </c>
    </row>
    <row r="27" spans="2:5" ht="27" hidden="1">
      <c r="B27" s="17" t="s">
        <v>2757</v>
      </c>
      <c r="C27" s="31">
        <v>42926</v>
      </c>
      <c r="D27" s="33" t="s">
        <v>2770</v>
      </c>
      <c r="E27" s="15" t="s">
        <v>270</v>
      </c>
    </row>
    <row r="28" spans="2:5" ht="54" hidden="1">
      <c r="B28" s="17" t="s">
        <v>2762</v>
      </c>
      <c r="C28" s="31">
        <v>42929</v>
      </c>
      <c r="D28" s="33" t="s">
        <v>2773</v>
      </c>
      <c r="E28" s="15" t="s">
        <v>270</v>
      </c>
    </row>
    <row r="29" spans="2:5" s="40" customFormat="1" hidden="1">
      <c r="B29" s="33" t="s">
        <v>2775</v>
      </c>
      <c r="C29" s="31">
        <v>42948</v>
      </c>
      <c r="D29" s="33" t="s">
        <v>2776</v>
      </c>
      <c r="E29" s="15" t="s">
        <v>270</v>
      </c>
    </row>
    <row r="30" spans="2:5" s="40" customFormat="1" hidden="1">
      <c r="B30" s="17" t="s">
        <v>2778</v>
      </c>
      <c r="C30" s="31">
        <v>43014</v>
      </c>
      <c r="D30" s="33" t="s">
        <v>2779</v>
      </c>
      <c r="E30" s="15" t="s">
        <v>270</v>
      </c>
    </row>
    <row r="31" spans="2:5" s="40" customFormat="1" hidden="1">
      <c r="B31" s="17" t="s">
        <v>2798</v>
      </c>
      <c r="C31" s="31">
        <v>43052</v>
      </c>
      <c r="D31" s="33" t="s">
        <v>2799</v>
      </c>
      <c r="E31" s="15" t="s">
        <v>270</v>
      </c>
    </row>
    <row r="32" spans="2:5" s="40" customFormat="1" ht="40.5" hidden="1">
      <c r="B32" s="17" t="s">
        <v>2804</v>
      </c>
      <c r="C32" s="31">
        <v>43056</v>
      </c>
      <c r="D32" s="33" t="s">
        <v>2836</v>
      </c>
      <c r="E32" s="15" t="s">
        <v>270</v>
      </c>
    </row>
    <row r="33" spans="2:5" s="40" customFormat="1" hidden="1">
      <c r="B33" s="17" t="s">
        <v>2853</v>
      </c>
      <c r="C33" s="31">
        <v>43063</v>
      </c>
      <c r="D33" s="33" t="s">
        <v>2854</v>
      </c>
      <c r="E33" s="15" t="s">
        <v>270</v>
      </c>
    </row>
    <row r="34" spans="2:5" s="40" customFormat="1" ht="27" hidden="1">
      <c r="B34" s="17" t="s">
        <v>2858</v>
      </c>
      <c r="C34" s="31">
        <v>43069</v>
      </c>
      <c r="D34" s="33" t="s">
        <v>2862</v>
      </c>
      <c r="E34" s="15" t="s">
        <v>270</v>
      </c>
    </row>
    <row r="35" spans="2:5" s="40" customFormat="1" ht="27" hidden="1">
      <c r="B35" s="17" t="s">
        <v>2877</v>
      </c>
      <c r="C35" s="31">
        <v>43076</v>
      </c>
      <c r="D35" s="33" t="s">
        <v>2886</v>
      </c>
      <c r="E35" s="15" t="s">
        <v>270</v>
      </c>
    </row>
    <row r="36" spans="2:5" s="40" customFormat="1" hidden="1">
      <c r="B36" s="17" t="s">
        <v>2892</v>
      </c>
      <c r="C36" s="31">
        <v>43082</v>
      </c>
      <c r="D36" s="33" t="s">
        <v>2893</v>
      </c>
      <c r="E36" s="15" t="s">
        <v>270</v>
      </c>
    </row>
    <row r="37" spans="2:5" s="40" customFormat="1" hidden="1">
      <c r="B37" s="17" t="s">
        <v>2897</v>
      </c>
      <c r="C37" s="31">
        <v>43082</v>
      </c>
      <c r="D37" s="33" t="s">
        <v>2898</v>
      </c>
      <c r="E37" s="15" t="s">
        <v>270</v>
      </c>
    </row>
    <row r="38" spans="2:5" s="40" customFormat="1" ht="27" hidden="1">
      <c r="B38" s="41" t="s">
        <v>2923</v>
      </c>
      <c r="C38" s="31">
        <v>43087</v>
      </c>
      <c r="D38" s="33" t="s">
        <v>2945</v>
      </c>
      <c r="E38" s="15" t="s">
        <v>270</v>
      </c>
    </row>
    <row r="39" spans="2:5" s="40" customFormat="1" hidden="1">
      <c r="B39" s="42"/>
      <c r="C39" s="31">
        <v>43084</v>
      </c>
      <c r="D39" s="33" t="s">
        <v>2937</v>
      </c>
      <c r="E39" s="15" t="s">
        <v>2936</v>
      </c>
    </row>
    <row r="40" spans="2:5" s="40" customFormat="1" ht="27" hidden="1">
      <c r="B40" s="37" t="s">
        <v>2951</v>
      </c>
      <c r="C40" s="31">
        <v>43091</v>
      </c>
      <c r="D40" s="33" t="s">
        <v>2961</v>
      </c>
      <c r="E40" s="15" t="s">
        <v>270</v>
      </c>
    </row>
    <row r="41" spans="2:5" s="40" customFormat="1" ht="27" hidden="1">
      <c r="B41" s="41" t="s">
        <v>2874</v>
      </c>
      <c r="C41" s="31">
        <v>43095</v>
      </c>
      <c r="D41" s="33" t="s">
        <v>3073</v>
      </c>
      <c r="E41" s="15" t="s">
        <v>270</v>
      </c>
    </row>
    <row r="42" spans="2:5" s="40" customFormat="1" hidden="1">
      <c r="B42" s="43"/>
      <c r="C42" s="31">
        <v>43095</v>
      </c>
      <c r="D42" s="33" t="s">
        <v>2937</v>
      </c>
      <c r="E42" s="15" t="s">
        <v>2936</v>
      </c>
    </row>
    <row r="43" spans="2:5" s="40" customFormat="1" hidden="1">
      <c r="B43" s="42"/>
      <c r="C43" s="31">
        <v>43096</v>
      </c>
      <c r="D43" s="33" t="s">
        <v>2937</v>
      </c>
      <c r="E43" s="15" t="s">
        <v>2936</v>
      </c>
    </row>
    <row r="44" spans="2:5" s="40" customFormat="1" ht="27" hidden="1">
      <c r="B44" s="37" t="s">
        <v>3072</v>
      </c>
      <c r="C44" s="31">
        <v>43108</v>
      </c>
      <c r="D44" s="33" t="s">
        <v>3074</v>
      </c>
      <c r="E44" s="15" t="s">
        <v>270</v>
      </c>
    </row>
    <row r="45" spans="2:5" s="40" customFormat="1" hidden="1">
      <c r="B45" s="41" t="s">
        <v>3082</v>
      </c>
      <c r="C45" s="44">
        <v>43109</v>
      </c>
      <c r="D45" s="45" t="s">
        <v>3083</v>
      </c>
      <c r="E45" s="46" t="s">
        <v>270</v>
      </c>
    </row>
    <row r="46" spans="2:5" s="40" customFormat="1" hidden="1">
      <c r="B46" s="42"/>
      <c r="C46" s="47"/>
      <c r="D46" s="42" t="s">
        <v>3085</v>
      </c>
      <c r="E46" s="37" t="s">
        <v>3084</v>
      </c>
    </row>
    <row r="47" spans="2:5" s="40" customFormat="1" hidden="1">
      <c r="B47" s="37" t="s">
        <v>3087</v>
      </c>
      <c r="C47" s="31">
        <v>43111</v>
      </c>
      <c r="D47" s="33" t="s">
        <v>3088</v>
      </c>
      <c r="E47" s="15" t="s">
        <v>270</v>
      </c>
    </row>
    <row r="48" spans="2:5" s="40" customFormat="1" ht="40.5" hidden="1">
      <c r="B48" s="41" t="s">
        <v>3091</v>
      </c>
      <c r="C48" s="44">
        <v>43115</v>
      </c>
      <c r="D48" s="45" t="s">
        <v>3093</v>
      </c>
      <c r="E48" s="46" t="s">
        <v>270</v>
      </c>
    </row>
    <row r="49" spans="2:5" hidden="1">
      <c r="B49" s="36"/>
      <c r="C49" s="48">
        <v>43119</v>
      </c>
      <c r="D49" s="37" t="s">
        <v>3085</v>
      </c>
      <c r="E49" s="37" t="s">
        <v>2936</v>
      </c>
    </row>
    <row r="50" spans="2:5" s="40" customFormat="1" ht="27" hidden="1">
      <c r="B50" s="37" t="s">
        <v>2960</v>
      </c>
      <c r="C50" s="31">
        <v>43115</v>
      </c>
      <c r="D50" s="33" t="s">
        <v>3100</v>
      </c>
      <c r="E50" s="15" t="s">
        <v>270</v>
      </c>
    </row>
    <row r="51" spans="2:5" hidden="1">
      <c r="B51" s="37" t="s">
        <v>3104</v>
      </c>
      <c r="C51" s="48">
        <v>43122</v>
      </c>
      <c r="D51" s="30" t="s">
        <v>3103</v>
      </c>
      <c r="E51" s="15" t="s">
        <v>270</v>
      </c>
    </row>
    <row r="52" spans="2:5" hidden="1">
      <c r="B52" s="37" t="s">
        <v>3104</v>
      </c>
      <c r="C52" s="48">
        <v>43123</v>
      </c>
      <c r="D52" s="30" t="s">
        <v>3131</v>
      </c>
      <c r="E52" s="15" t="s">
        <v>3189</v>
      </c>
    </row>
    <row r="53" spans="2:5" ht="27" hidden="1">
      <c r="B53" s="37" t="s">
        <v>3188</v>
      </c>
      <c r="C53" s="48">
        <v>43124</v>
      </c>
      <c r="D53" s="10" t="s">
        <v>3190</v>
      </c>
      <c r="E53" s="15" t="s">
        <v>270</v>
      </c>
    </row>
    <row r="54" spans="2:5" ht="27" hidden="1">
      <c r="B54" s="37" t="s">
        <v>3192</v>
      </c>
      <c r="C54" s="48">
        <v>43124</v>
      </c>
      <c r="D54" s="10" t="s">
        <v>3190</v>
      </c>
      <c r="E54" s="15" t="s">
        <v>270</v>
      </c>
    </row>
    <row r="55" spans="2:5" hidden="1">
      <c r="B55" s="41" t="s">
        <v>3211</v>
      </c>
      <c r="C55" s="48">
        <v>43133</v>
      </c>
      <c r="D55" s="10" t="s">
        <v>3212</v>
      </c>
      <c r="E55" s="15" t="s">
        <v>270</v>
      </c>
    </row>
    <row r="56" spans="2:5" ht="27" hidden="1">
      <c r="B56" s="36"/>
      <c r="C56" s="48">
        <v>43139</v>
      </c>
      <c r="D56" s="10" t="s">
        <v>3214</v>
      </c>
      <c r="E56" s="15" t="s">
        <v>270</v>
      </c>
    </row>
    <row r="57" spans="2:5" ht="40.5" hidden="1">
      <c r="B57" s="41" t="s">
        <v>3215</v>
      </c>
      <c r="C57" s="48">
        <v>43147</v>
      </c>
      <c r="D57" s="10" t="s">
        <v>3229</v>
      </c>
      <c r="E57" s="15" t="s">
        <v>270</v>
      </c>
    </row>
    <row r="58" spans="2:5" hidden="1">
      <c r="B58" s="41" t="s">
        <v>3233</v>
      </c>
      <c r="C58" s="52">
        <v>43201</v>
      </c>
      <c r="D58" s="10" t="s">
        <v>3234</v>
      </c>
      <c r="E58" s="30" t="s">
        <v>3235</v>
      </c>
    </row>
    <row r="59" spans="2:5" ht="40.5" hidden="1">
      <c r="B59" s="43"/>
      <c r="C59" s="52">
        <v>43203</v>
      </c>
      <c r="D59" s="10" t="s">
        <v>3246</v>
      </c>
      <c r="E59" s="30" t="s">
        <v>270</v>
      </c>
    </row>
    <row r="60" spans="2:5" hidden="1">
      <c r="B60" s="53"/>
      <c r="C60" s="48">
        <v>43210</v>
      </c>
      <c r="D60" s="30" t="s">
        <v>3248</v>
      </c>
      <c r="E60" s="30" t="s">
        <v>270</v>
      </c>
    </row>
    <row r="61" spans="2:5" hidden="1">
      <c r="B61" s="43"/>
      <c r="C61" s="52">
        <v>43213</v>
      </c>
      <c r="D61" s="10" t="s">
        <v>3249</v>
      </c>
      <c r="E61" s="30" t="s">
        <v>270</v>
      </c>
    </row>
    <row r="62" spans="2:5" hidden="1">
      <c r="B62" s="41" t="s">
        <v>3265</v>
      </c>
      <c r="C62" s="52">
        <v>43229</v>
      </c>
      <c r="D62" s="30" t="s">
        <v>3250</v>
      </c>
      <c r="E62" s="30" t="s">
        <v>270</v>
      </c>
    </row>
    <row r="63" spans="2:5" hidden="1">
      <c r="B63" s="53"/>
      <c r="C63" s="52">
        <v>43230</v>
      </c>
      <c r="D63" s="30" t="s">
        <v>3252</v>
      </c>
      <c r="E63" s="30" t="s">
        <v>270</v>
      </c>
    </row>
    <row r="64" spans="2:5" hidden="1">
      <c r="B64" s="53"/>
      <c r="C64" s="52">
        <v>43231</v>
      </c>
      <c r="D64" s="30" t="s">
        <v>3257</v>
      </c>
      <c r="E64" s="30" t="s">
        <v>270</v>
      </c>
    </row>
    <row r="65" spans="2:5" hidden="1">
      <c r="B65" s="53"/>
      <c r="C65" s="48">
        <v>43234</v>
      </c>
      <c r="D65" s="30" t="s">
        <v>3260</v>
      </c>
      <c r="E65" s="30" t="s">
        <v>270</v>
      </c>
    </row>
    <row r="66" spans="2:5" hidden="1">
      <c r="B66" s="36"/>
      <c r="C66" s="48">
        <v>43237</v>
      </c>
      <c r="D66" s="30" t="s">
        <v>3261</v>
      </c>
      <c r="E66" s="30" t="s">
        <v>270</v>
      </c>
    </row>
    <row r="67" spans="2:5" ht="27" hidden="1">
      <c r="B67" s="37" t="s">
        <v>3266</v>
      </c>
      <c r="C67" s="48">
        <v>43259</v>
      </c>
      <c r="D67" s="10" t="s">
        <v>3267</v>
      </c>
      <c r="E67" s="30" t="s">
        <v>270</v>
      </c>
    </row>
    <row r="68" spans="2:5" hidden="1">
      <c r="B68" s="37" t="s">
        <v>3275</v>
      </c>
      <c r="C68" s="48">
        <v>43276</v>
      </c>
      <c r="D68" s="10" t="s">
        <v>3276</v>
      </c>
      <c r="E68" s="30" t="s">
        <v>270</v>
      </c>
    </row>
    <row r="69" spans="2:5" hidden="1">
      <c r="B69" s="37" t="s">
        <v>3297</v>
      </c>
      <c r="C69" s="48">
        <v>43285</v>
      </c>
      <c r="D69" s="10" t="s">
        <v>3299</v>
      </c>
      <c r="E69" s="30" t="s">
        <v>270</v>
      </c>
    </row>
    <row r="70" spans="2:5" hidden="1">
      <c r="B70" s="37" t="s">
        <v>3300</v>
      </c>
      <c r="C70" s="48">
        <v>43309</v>
      </c>
      <c r="D70" s="10" t="s">
        <v>3301</v>
      </c>
      <c r="E70" s="30" t="s">
        <v>3302</v>
      </c>
    </row>
    <row r="71" spans="2:5" hidden="1">
      <c r="B71" s="37" t="s">
        <v>3304</v>
      </c>
      <c r="C71" s="48">
        <v>43332</v>
      </c>
      <c r="D71" s="30" t="s">
        <v>3303</v>
      </c>
      <c r="E71" s="30" t="s">
        <v>270</v>
      </c>
    </row>
    <row r="72" spans="2:5" hidden="1">
      <c r="B72" s="41" t="s">
        <v>3305</v>
      </c>
      <c r="C72" s="48">
        <v>43333</v>
      </c>
      <c r="D72" s="30" t="s">
        <v>3306</v>
      </c>
      <c r="E72" s="30" t="s">
        <v>270</v>
      </c>
    </row>
    <row r="73" spans="2:5" hidden="1">
      <c r="B73" s="43"/>
      <c r="C73" s="48">
        <v>43336</v>
      </c>
      <c r="D73" s="30" t="s">
        <v>3442</v>
      </c>
      <c r="E73" s="30" t="s">
        <v>3443</v>
      </c>
    </row>
    <row r="74" spans="2:5" hidden="1">
      <c r="B74" s="43"/>
      <c r="C74" s="48">
        <v>43336</v>
      </c>
      <c r="D74" s="30" t="s">
        <v>3324</v>
      </c>
      <c r="E74" s="30" t="s">
        <v>270</v>
      </c>
    </row>
    <row r="75" spans="2:5" ht="27" hidden="1">
      <c r="B75" s="36"/>
      <c r="C75" s="48">
        <v>43343</v>
      </c>
      <c r="D75" s="10" t="s">
        <v>3325</v>
      </c>
      <c r="E75" s="30" t="s">
        <v>270</v>
      </c>
    </row>
    <row r="76" spans="2:5" hidden="1">
      <c r="B76" s="41" t="s">
        <v>3326</v>
      </c>
      <c r="C76" s="48">
        <v>43353</v>
      </c>
      <c r="D76" s="30" t="s">
        <v>3327</v>
      </c>
      <c r="E76" s="30" t="s">
        <v>270</v>
      </c>
    </row>
    <row r="77" spans="2:5" hidden="1">
      <c r="B77" s="42"/>
      <c r="C77" s="48">
        <v>43361</v>
      </c>
      <c r="D77" s="30" t="s">
        <v>3332</v>
      </c>
      <c r="E77" s="30" t="s">
        <v>270</v>
      </c>
    </row>
    <row r="78" spans="2:5" hidden="1">
      <c r="B78" s="7" t="s">
        <v>3343</v>
      </c>
      <c r="C78" s="48">
        <v>43378</v>
      </c>
      <c r="D78" s="30" t="s">
        <v>3344</v>
      </c>
      <c r="E78" s="30" t="s">
        <v>270</v>
      </c>
    </row>
    <row r="79" spans="2:5" ht="54" hidden="1">
      <c r="B79" s="53"/>
      <c r="C79" s="48">
        <v>43382</v>
      </c>
      <c r="D79" s="10" t="s">
        <v>3357</v>
      </c>
      <c r="E79" s="30" t="s">
        <v>270</v>
      </c>
    </row>
    <row r="80" spans="2:5" hidden="1">
      <c r="B80" s="53"/>
      <c r="C80" s="48">
        <v>43388</v>
      </c>
      <c r="D80" s="30" t="s">
        <v>3388</v>
      </c>
      <c r="E80" s="30" t="s">
        <v>3389</v>
      </c>
    </row>
    <row r="81" spans="2:5" ht="54" hidden="1">
      <c r="B81" s="53"/>
      <c r="C81" s="48">
        <v>43391</v>
      </c>
      <c r="D81" s="10" t="s">
        <v>3405</v>
      </c>
      <c r="E81" s="30" t="s">
        <v>270</v>
      </c>
    </row>
    <row r="82" spans="2:5" ht="27" hidden="1">
      <c r="B82" s="7" t="s">
        <v>3432</v>
      </c>
      <c r="C82" s="48">
        <v>43398</v>
      </c>
      <c r="D82" s="10" t="s">
        <v>3424</v>
      </c>
      <c r="E82" s="30" t="s">
        <v>270</v>
      </c>
    </row>
    <row r="83" spans="2:5" hidden="1">
      <c r="B83" s="53"/>
      <c r="C83" s="48">
        <v>43430</v>
      </c>
      <c r="D83" s="30" t="s">
        <v>3426</v>
      </c>
      <c r="E83" s="30" t="s">
        <v>3427</v>
      </c>
    </row>
    <row r="84" spans="2:5" hidden="1">
      <c r="B84" s="7" t="s">
        <v>3433</v>
      </c>
      <c r="C84" s="52">
        <v>43446</v>
      </c>
      <c r="D84" s="30" t="s">
        <v>3434</v>
      </c>
      <c r="E84" s="30" t="s">
        <v>270</v>
      </c>
    </row>
    <row r="85" spans="2:5" hidden="1">
      <c r="B85" s="7" t="s">
        <v>3440</v>
      </c>
      <c r="C85" s="52">
        <v>43461</v>
      </c>
      <c r="D85" s="30" t="s">
        <v>3439</v>
      </c>
      <c r="E85" s="30" t="s">
        <v>270</v>
      </c>
    </row>
    <row r="86" spans="2:5" hidden="1">
      <c r="B86" s="53"/>
      <c r="C86" s="48">
        <v>43475</v>
      </c>
      <c r="D86" s="30" t="s">
        <v>3441</v>
      </c>
      <c r="E86" s="30" t="s">
        <v>270</v>
      </c>
    </row>
    <row r="87" spans="2:5" hidden="1">
      <c r="B87" s="53"/>
      <c r="C87" s="48">
        <v>43483</v>
      </c>
      <c r="D87" s="30" t="s">
        <v>3444</v>
      </c>
      <c r="E87" s="30" t="s">
        <v>270</v>
      </c>
    </row>
    <row r="88" spans="2:5" ht="40.5" hidden="1">
      <c r="B88" s="36"/>
      <c r="C88" s="52">
        <v>43493</v>
      </c>
      <c r="D88" s="10" t="s">
        <v>3455</v>
      </c>
      <c r="E88" s="30" t="s">
        <v>270</v>
      </c>
    </row>
    <row r="89" spans="2:5" hidden="1">
      <c r="B89" s="30" t="s">
        <v>3459</v>
      </c>
      <c r="C89" s="48">
        <v>43496</v>
      </c>
      <c r="D89" s="30" t="s">
        <v>3460</v>
      </c>
      <c r="E89" s="30" t="s">
        <v>270</v>
      </c>
    </row>
    <row r="90" spans="2:5" hidden="1">
      <c r="B90" s="7" t="s">
        <v>3607</v>
      </c>
      <c r="C90" s="48">
        <v>43504</v>
      </c>
      <c r="D90" s="30" t="s">
        <v>3612</v>
      </c>
      <c r="E90" s="30" t="s">
        <v>270</v>
      </c>
    </row>
    <row r="91" spans="2:5" hidden="1">
      <c r="B91" s="36"/>
      <c r="C91" s="48">
        <v>43511</v>
      </c>
      <c r="D91" s="30" t="s">
        <v>3632</v>
      </c>
      <c r="E91" s="30" t="s">
        <v>270</v>
      </c>
    </row>
    <row r="92" spans="2:5" ht="27" hidden="1">
      <c r="B92" s="7" t="s">
        <v>3638</v>
      </c>
      <c r="C92" s="48">
        <v>43517</v>
      </c>
      <c r="D92" s="10" t="s">
        <v>3642</v>
      </c>
      <c r="E92" s="30" t="s">
        <v>270</v>
      </c>
    </row>
    <row r="93" spans="2:5" hidden="1">
      <c r="B93" s="53"/>
      <c r="C93" s="48">
        <v>43521</v>
      </c>
      <c r="D93" s="30" t="s">
        <v>3648</v>
      </c>
      <c r="E93" s="30" t="s">
        <v>3647</v>
      </c>
    </row>
    <row r="94" spans="2:5" ht="27" hidden="1">
      <c r="B94" s="36"/>
      <c r="C94" s="48">
        <v>43524</v>
      </c>
      <c r="D94" s="10" t="s">
        <v>3649</v>
      </c>
      <c r="E94" s="30" t="s">
        <v>3647</v>
      </c>
    </row>
    <row r="95" spans="2:5" hidden="1">
      <c r="B95" s="7" t="s">
        <v>3651</v>
      </c>
      <c r="C95" s="48">
        <v>43536</v>
      </c>
      <c r="D95" s="10" t="s">
        <v>3650</v>
      </c>
      <c r="E95" s="30" t="s">
        <v>270</v>
      </c>
    </row>
    <row r="96" spans="2:5" hidden="1">
      <c r="B96" s="7" t="s">
        <v>3859</v>
      </c>
      <c r="C96" s="61">
        <v>43542</v>
      </c>
      <c r="D96" s="10" t="s">
        <v>3860</v>
      </c>
      <c r="E96" s="30" t="s">
        <v>270</v>
      </c>
    </row>
    <row r="97" spans="2:5" hidden="1">
      <c r="B97" s="36"/>
      <c r="C97" s="61">
        <v>43543</v>
      </c>
      <c r="D97" s="10" t="s">
        <v>3861</v>
      </c>
      <c r="E97" s="30" t="s">
        <v>270</v>
      </c>
    </row>
    <row r="98" spans="2:5" hidden="1">
      <c r="B98" s="7" t="s">
        <v>3863</v>
      </c>
      <c r="C98" s="61">
        <v>43581</v>
      </c>
      <c r="D98" s="10" t="s">
        <v>3877</v>
      </c>
      <c r="E98" s="30" t="s">
        <v>3872</v>
      </c>
    </row>
    <row r="99" spans="2:5" hidden="1">
      <c r="B99" s="30" t="s">
        <v>3883</v>
      </c>
      <c r="C99" s="48">
        <v>43593</v>
      </c>
      <c r="D99" s="10" t="s">
        <v>3884</v>
      </c>
      <c r="E99" s="30" t="s">
        <v>270</v>
      </c>
    </row>
    <row r="100" spans="2:5" ht="40.5" hidden="1">
      <c r="B100" s="30" t="s">
        <v>3898</v>
      </c>
      <c r="C100" s="48">
        <v>43600</v>
      </c>
      <c r="D100" s="10" t="s">
        <v>3899</v>
      </c>
      <c r="E100" s="30" t="s">
        <v>270</v>
      </c>
    </row>
    <row r="101" spans="2:5" hidden="1">
      <c r="B101" s="7" t="s">
        <v>4131</v>
      </c>
      <c r="C101" s="48">
        <v>43608</v>
      </c>
      <c r="D101" s="30" t="s">
        <v>4068</v>
      </c>
      <c r="E101" s="30" t="s">
        <v>270</v>
      </c>
    </row>
    <row r="102" spans="2:5" hidden="1">
      <c r="B102" s="53"/>
      <c r="C102" s="48">
        <v>43615</v>
      </c>
      <c r="D102" s="30" t="s">
        <v>4123</v>
      </c>
      <c r="E102" s="30" t="s">
        <v>270</v>
      </c>
    </row>
    <row r="103" spans="2:5" hidden="1">
      <c r="B103" s="7" t="s">
        <v>4201</v>
      </c>
      <c r="C103" s="48">
        <v>43637</v>
      </c>
      <c r="D103" s="30" t="s">
        <v>4128</v>
      </c>
      <c r="E103" s="30" t="s">
        <v>270</v>
      </c>
    </row>
    <row r="104" spans="2:5" hidden="1">
      <c r="B104" s="53"/>
      <c r="C104" s="48">
        <v>43642</v>
      </c>
      <c r="D104" s="30" t="s">
        <v>4200</v>
      </c>
      <c r="E104" s="30" t="s">
        <v>270</v>
      </c>
    </row>
    <row r="105" spans="2:5" hidden="1">
      <c r="B105" s="36"/>
      <c r="C105" s="48">
        <v>43647</v>
      </c>
      <c r="D105" s="30" t="s">
        <v>4215</v>
      </c>
      <c r="E105" s="30" t="s">
        <v>4214</v>
      </c>
    </row>
    <row r="106" spans="2:5" hidden="1">
      <c r="B106" s="7" t="s">
        <v>4218</v>
      </c>
      <c r="C106" s="48">
        <v>43676</v>
      </c>
      <c r="D106" s="30" t="s">
        <v>4220</v>
      </c>
      <c r="E106" s="30" t="s">
        <v>270</v>
      </c>
    </row>
    <row r="107" spans="2:5" ht="27" hidden="1">
      <c r="B107" s="7" t="s">
        <v>4223</v>
      </c>
      <c r="C107" s="48">
        <v>43710</v>
      </c>
      <c r="D107" s="10" t="s">
        <v>4222</v>
      </c>
      <c r="E107" s="30" t="s">
        <v>270</v>
      </c>
    </row>
    <row r="108" spans="2:5" ht="27" hidden="1">
      <c r="B108" s="7" t="s">
        <v>4230</v>
      </c>
      <c r="C108" s="48">
        <v>43712</v>
      </c>
      <c r="D108" s="10" t="s">
        <v>4232</v>
      </c>
      <c r="E108" s="30" t="s">
        <v>4231</v>
      </c>
    </row>
    <row r="109" spans="2:5" hidden="1">
      <c r="B109" s="36"/>
      <c r="C109" s="48">
        <v>43728</v>
      </c>
      <c r="D109" s="30" t="s">
        <v>4235</v>
      </c>
      <c r="E109" s="30" t="s">
        <v>270</v>
      </c>
    </row>
    <row r="110" spans="2:5" ht="27" hidden="1">
      <c r="B110" s="7" t="s">
        <v>4242</v>
      </c>
      <c r="C110" s="48">
        <v>43732</v>
      </c>
      <c r="D110" s="10" t="s">
        <v>4232</v>
      </c>
      <c r="E110" s="30" t="s">
        <v>270</v>
      </c>
    </row>
    <row r="111" spans="2:5" ht="54" hidden="1">
      <c r="B111" s="36"/>
      <c r="C111" s="48">
        <v>43773</v>
      </c>
      <c r="D111" s="10" t="s">
        <v>4258</v>
      </c>
      <c r="E111" s="30" t="s">
        <v>270</v>
      </c>
    </row>
    <row r="112" spans="2:5" hidden="1">
      <c r="B112" s="30" t="s">
        <v>4275</v>
      </c>
      <c r="C112" s="48">
        <v>43823</v>
      </c>
      <c r="D112" s="10" t="s">
        <v>4276</v>
      </c>
      <c r="E112" s="30" t="s">
        <v>270</v>
      </c>
    </row>
    <row r="113" spans="2:5" hidden="1">
      <c r="B113" s="30" t="s">
        <v>4308</v>
      </c>
      <c r="C113" s="48">
        <v>43847</v>
      </c>
      <c r="D113" s="10" t="s">
        <v>4309</v>
      </c>
      <c r="E113" s="30" t="s">
        <v>270</v>
      </c>
    </row>
    <row r="114" spans="2:5" hidden="1">
      <c r="B114" s="30" t="s">
        <v>4313</v>
      </c>
      <c r="C114" s="48">
        <v>43851</v>
      </c>
      <c r="D114" s="10" t="s">
        <v>4314</v>
      </c>
      <c r="E114" s="30" t="s">
        <v>270</v>
      </c>
    </row>
    <row r="115" spans="2:5" hidden="1">
      <c r="B115" s="30" t="s">
        <v>4327</v>
      </c>
      <c r="C115" s="48">
        <v>43853</v>
      </c>
      <c r="D115" s="10" t="s">
        <v>4328</v>
      </c>
      <c r="E115" s="30" t="s">
        <v>270</v>
      </c>
    </row>
    <row r="116" spans="2:5" hidden="1">
      <c r="B116" s="30" t="s">
        <v>4330</v>
      </c>
      <c r="C116" s="48">
        <v>43860</v>
      </c>
      <c r="D116" s="10" t="s">
        <v>4331</v>
      </c>
      <c r="E116" s="30" t="s">
        <v>270</v>
      </c>
    </row>
    <row r="117" spans="2:5" ht="27" hidden="1">
      <c r="B117" s="30" t="s">
        <v>4335</v>
      </c>
      <c r="C117" s="48">
        <v>43866</v>
      </c>
      <c r="D117" s="10" t="s">
        <v>4336</v>
      </c>
      <c r="E117" s="30" t="s">
        <v>270</v>
      </c>
    </row>
    <row r="118" spans="2:5" hidden="1">
      <c r="B118" s="30" t="s">
        <v>4337</v>
      </c>
      <c r="C118" s="48">
        <v>43868</v>
      </c>
      <c r="D118" s="10" t="s">
        <v>4338</v>
      </c>
      <c r="E118" s="30" t="s">
        <v>4231</v>
      </c>
    </row>
    <row r="119" spans="2:5" hidden="1">
      <c r="B119" s="7" t="s">
        <v>4339</v>
      </c>
      <c r="C119" s="48">
        <v>43874</v>
      </c>
      <c r="D119" s="10" t="s">
        <v>4340</v>
      </c>
      <c r="E119" s="30" t="s">
        <v>270</v>
      </c>
    </row>
    <row r="120" spans="2:5" hidden="1">
      <c r="B120" s="36"/>
      <c r="C120" s="48">
        <v>43896</v>
      </c>
      <c r="D120" s="10" t="s">
        <v>4341</v>
      </c>
      <c r="E120" s="30" t="s">
        <v>270</v>
      </c>
    </row>
    <row r="121" spans="2:5" ht="27" hidden="1">
      <c r="B121" s="30" t="s">
        <v>4373</v>
      </c>
      <c r="C121" s="48">
        <v>43899</v>
      </c>
      <c r="D121" s="10" t="s">
        <v>4374</v>
      </c>
      <c r="E121" s="30" t="s">
        <v>4231</v>
      </c>
    </row>
    <row r="122" spans="2:5" hidden="1">
      <c r="B122" s="30" t="s">
        <v>4377</v>
      </c>
      <c r="C122" s="48">
        <v>43931</v>
      </c>
      <c r="D122" s="10" t="s">
        <v>4399</v>
      </c>
      <c r="E122" s="30" t="s">
        <v>270</v>
      </c>
    </row>
    <row r="123" spans="2:5">
      <c r="B123" s="30" t="s">
        <v>4416</v>
      </c>
      <c r="C123" s="48">
        <v>43976</v>
      </c>
      <c r="D123" s="30" t="s">
        <v>4438</v>
      </c>
      <c r="E123" s="30" t="s">
        <v>270</v>
      </c>
    </row>
    <row r="124" spans="2:5">
      <c r="B124" s="30" t="s">
        <v>4439</v>
      </c>
      <c r="C124" s="48">
        <v>43976</v>
      </c>
      <c r="D124" s="30" t="s">
        <v>4440</v>
      </c>
      <c r="E124" s="30" t="s">
        <v>270</v>
      </c>
    </row>
    <row r="125" spans="2:5" ht="40.5">
      <c r="B125" s="30" t="s">
        <v>4473</v>
      </c>
      <c r="C125" s="48">
        <v>44014</v>
      </c>
      <c r="D125" s="10" t="s">
        <v>4470</v>
      </c>
      <c r="E125" s="30" t="s">
        <v>270</v>
      </c>
    </row>
    <row r="126" spans="2:5">
      <c r="B126" s="30" t="s">
        <v>4472</v>
      </c>
      <c r="C126" s="48">
        <v>44015</v>
      </c>
      <c r="D126" s="10" t="s">
        <v>4474</v>
      </c>
      <c r="E126" s="30" t="s">
        <v>270</v>
      </c>
    </row>
    <row r="127" spans="2:5">
      <c r="B127" s="30" t="s">
        <v>4477</v>
      </c>
      <c r="C127" s="48">
        <v>44022</v>
      </c>
      <c r="D127" s="10" t="s">
        <v>4479</v>
      </c>
      <c r="E127" s="30" t="s">
        <v>270</v>
      </c>
    </row>
    <row r="128" spans="2:5">
      <c r="B128" s="7" t="s">
        <v>4482</v>
      </c>
      <c r="C128" s="48">
        <v>44029</v>
      </c>
      <c r="D128" s="30" t="s">
        <v>4481</v>
      </c>
      <c r="E128" s="30" t="s">
        <v>270</v>
      </c>
    </row>
    <row r="129" spans="2:5">
      <c r="B129" s="53"/>
      <c r="C129" s="48">
        <v>44039</v>
      </c>
      <c r="D129" s="30" t="s">
        <v>4487</v>
      </c>
      <c r="E129" s="30" t="s">
        <v>270</v>
      </c>
    </row>
    <row r="130" spans="2:5">
      <c r="B130" s="36"/>
      <c r="C130" s="48">
        <v>44040</v>
      </c>
      <c r="D130" s="30" t="s">
        <v>4488</v>
      </c>
      <c r="E130" s="30" t="s">
        <v>270</v>
      </c>
    </row>
    <row r="131" spans="2:5" ht="27">
      <c r="B131" s="30" t="s">
        <v>4494</v>
      </c>
      <c r="C131" s="48">
        <v>44089</v>
      </c>
      <c r="D131" s="10" t="s">
        <v>4499</v>
      </c>
      <c r="E131" s="30" t="s">
        <v>4490</v>
      </c>
    </row>
    <row r="132" spans="2:5">
      <c r="B132" s="46" t="s">
        <v>4534</v>
      </c>
      <c r="C132" s="48">
        <v>44111</v>
      </c>
      <c r="D132" s="30" t="s">
        <v>4503</v>
      </c>
      <c r="E132" s="30" t="s">
        <v>4231</v>
      </c>
    </row>
    <row r="133" spans="2:5">
      <c r="B133" s="53"/>
      <c r="C133" s="31">
        <v>44152</v>
      </c>
      <c r="D133" s="10" t="s">
        <v>4507</v>
      </c>
      <c r="E133" s="30" t="s">
        <v>4508</v>
      </c>
    </row>
    <row r="134" spans="2:5" ht="27">
      <c r="B134" s="36"/>
      <c r="C134" s="48">
        <v>44153</v>
      </c>
      <c r="D134" s="10" t="s">
        <v>4532</v>
      </c>
      <c r="E134" s="30" t="s">
        <v>270</v>
      </c>
    </row>
    <row r="135" spans="2:5">
      <c r="B135" s="7" t="s">
        <v>4535</v>
      </c>
      <c r="C135" s="48">
        <v>44161</v>
      </c>
      <c r="D135" s="30" t="s">
        <v>4533</v>
      </c>
      <c r="E135" s="30" t="s">
        <v>270</v>
      </c>
    </row>
    <row r="136" spans="2:5">
      <c r="B136" s="36"/>
      <c r="C136" s="48">
        <v>44231</v>
      </c>
      <c r="D136" s="30" t="s">
        <v>4536</v>
      </c>
      <c r="E136" s="30" t="s">
        <v>270</v>
      </c>
    </row>
    <row r="137" spans="2:5" ht="54">
      <c r="B137" s="7" t="s">
        <v>4537</v>
      </c>
      <c r="C137" s="48">
        <v>44264</v>
      </c>
      <c r="D137" s="10" t="s">
        <v>4559</v>
      </c>
      <c r="E137" s="30" t="s">
        <v>270</v>
      </c>
    </row>
    <row r="138" spans="2:5" ht="40.5">
      <c r="B138" s="36"/>
      <c r="C138" s="48">
        <v>44329</v>
      </c>
      <c r="D138" s="10" t="s">
        <v>4564</v>
      </c>
      <c r="E138" s="30" t="s">
        <v>270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設定</vt:lpstr>
      <vt:lpstr>System</vt:lpstr>
      <vt:lpstr>SerialIP</vt:lpstr>
      <vt:lpstr>DigitalIO</vt:lpstr>
      <vt:lpstr>Launcher</vt:lpstr>
      <vt:lpstr>Firewall</vt:lpstr>
      <vt:lpstr>WinCred</vt:lpstr>
      <vt:lpstr>更新履歴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坂上 俊二</dc:creator>
  <cp:lastModifiedBy>俊二 坂上</cp:lastModifiedBy>
  <dcterms:created xsi:type="dcterms:W3CDTF">2006-09-16T00:00:00Z</dcterms:created>
  <dcterms:modified xsi:type="dcterms:W3CDTF">2026-01-24T09:27:54Z</dcterms:modified>
</cp:coreProperties>
</file>